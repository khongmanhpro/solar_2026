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Volumes/cdoe/solar/solar_tinhtoanh/docs/templates/"/>
    </mc:Choice>
  </mc:AlternateContent>
  <xr:revisionPtr revIDLastSave="0" documentId="13_ncr:1_{4D4BD851-6C1F-A547-ADC6-73108D01ABCA}" xr6:coauthVersionLast="47" xr6:coauthVersionMax="47" xr10:uidLastSave="{00000000-0000-0000-0000-000000000000}"/>
  <bookViews>
    <workbookView xWindow="0" yWindow="600" windowWidth="51200" windowHeight="26720" activeTab="1" xr2:uid="{00000000-000D-0000-FFFF-FFFF00000000}"/>
  </bookViews>
  <sheets>
    <sheet name="00_HUONG_DAN" sheetId="1" r:id="rId1"/>
    <sheet name="01_CAU_HOI_CHINH" sheetId="2" r:id="rId2"/>
    <sheet name="02_GOI_SAN_PHAM" sheetId="3" r:id="rId3"/>
    <sheet name="03_THIET_BI" sheetId="4" r:id="rId4"/>
    <sheet name="04_VUNG_PHUC_VU" sheetId="5" r:id="rId5"/>
    <sheet name="05_HOA_DON_MAU" sheetId="6" r:id="rId6"/>
    <sheet name="06_VIEC_KY_SU" sheetId="7" r:id="rId7"/>
    <sheet name="07_KHONG_CAN_DIEN" sheetId="8" r:id="rId8"/>
    <sheet name="08_DANH_MUC" sheetId="9" r:id="rId9"/>
  </sheets>
  <definedNames>
    <definedName name="_xlnm._FilterDatabase" localSheetId="1" hidden="1">'01_CAU_HOI_CHINH'!$A$5:$J$44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7" i="6" l="1"/>
  <c r="C42" i="5"/>
  <c r="C41" i="5"/>
  <c r="J44" i="2"/>
  <c r="J43" i="2"/>
  <c r="J42" i="2"/>
  <c r="J41" i="2"/>
  <c r="J40" i="2"/>
  <c r="J39" i="2"/>
  <c r="J38" i="2"/>
  <c r="J37" i="2"/>
  <c r="J36" i="2"/>
  <c r="B8" i="1" s="1"/>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B12" i="1"/>
  <c r="B11" i="1"/>
  <c r="B10" i="1"/>
  <c r="B9" i="1"/>
  <c r="C8" i="1"/>
  <c r="C7" i="1"/>
  <c r="B7" i="1"/>
</calcChain>
</file>

<file path=xl/sharedStrings.xml><?xml version="1.0" encoding="utf-8"?>
<sst xmlns="http://schemas.openxmlformats.org/spreadsheetml/2006/main" count="622" uniqueCount="506">
  <si>
    <t>PHIẾU THU THẬP DỮ LIỆU — BẢN PHÁT HÀNH ĐẦU TIÊN (R1)</t>
  </si>
  <si>
    <t>Dành cho chủ sở hữu sản phẩm. Không cần kiến thức kỹ thuật để điền.</t>
  </si>
  <si>
    <t>Điền xong gửi lại nguyên file này. Không cần xóa sheet nào.</t>
  </si>
  <si>
    <t>TIẾN ĐỘ</t>
  </si>
  <si>
    <t>Chỉ tiêu</t>
  </si>
  <si>
    <t>Đã có</t>
  </si>
  <si>
    <t>Cần có</t>
  </si>
  <si>
    <t>Câu hỏi P0 (bắt buộc) đã trả lời</t>
  </si>
  <si>
    <t>Tổng câu hỏi đã trả lời</t>
  </si>
  <si>
    <t>Số gói sản phẩm đã nhập</t>
  </si>
  <si>
    <t>"—"</t>
  </si>
  <si>
    <t>Số thiết bị đã nhập</t>
  </si>
  <si>
    <t>Số tỉnh đã chọn mức phục vụ</t>
  </si>
  <si>
    <t>34</t>
  </si>
  <si>
    <t>Số dòng hóa đơn mẫu đã nhập</t>
  </si>
  <si>
    <t>"tối thiểu 120"</t>
  </si>
  <si>
    <t>CÁCH ĐIỀN</t>
  </si>
  <si>
    <t>1. Ô màu VÀNG là chỗ anh/chị điền. Ô màu XÁM là thông tin có sẵn, không sửa.</t>
  </si>
  <si>
    <t>2. Bắt đầu từ sheet 01_CAU_HOI_CHINH. Làm hết các dòng ưu tiên P0 trước, đó là phần chặn tiến độ.</t>
  </si>
  <si>
    <t>3. Sheet 02 và 03: anh/chị nói đã có sẵn bảng giá và thiết bị, chỉ cần chép vào.</t>
  </si>
  <si>
    <t>4. Sheet 04: chỉ chọn 'Tự thi công' / 'Qua đối tác' / 'Không phục vụ' cho 34 dòng.</t>
  </si>
  <si>
    <t>5. Sheet 05 là phần giá trị nhất: hóa đơn điện thật đã xóa thông tin cá nhân. Có 3 hộ vẫn tốt hơn không có hộ nào.</t>
  </si>
  <si>
    <t>6. Sheet 06 KHÔNG phải việc của anh/chị — đó là việc cần kỹ sư, đọc để biết cần giao cho ai.</t>
  </si>
  <si>
    <t>7. Sheet 07 đọc trước để không mất công điền những thứ không còn cần nữa.</t>
  </si>
  <si>
    <t>8. Không biết câu nào thì ghi thẳng 'chưa biết' vào ô đó. Ghi 'chưa biết' tốt hơn là đoán một con số.</t>
  </si>
  <si>
    <t>ĐIỀU QUAN TRỌNG NHẤT</t>
  </si>
  <si>
    <t>• Nếu không biết một con số, ĐỪNG đoán. Ghi 'chưa biết'. Hệ thống sẽ tự nới rộng khoảng ước tính và nói rõ với khách là còn thiếu thông tin.</t>
  </si>
  <si>
    <t>• Một con số đoán bừa nhưng được đưa vào hệ thống sẽ trở thành con số 'đã xác minh', và sau đó không còn ai cảnh báo nữa. Đó là rủi ro lớn hơn việc để trống.</t>
  </si>
  <si>
    <t>• Ba mục quan trọng nhất cho độ chính xác là I01, I02, I03 ở sheet 01 — hóa đơn thật, công trình thật, dữ liệu giám sát thật.</t>
  </si>
  <si>
    <t>THÔNG TIN BÀN GIAO</t>
  </si>
  <si>
    <t>Người điền phiếu</t>
  </si>
  <si>
    <t>Chức vụ</t>
  </si>
  <si>
    <t>Ngày gửi lại</t>
  </si>
  <si>
    <t>Số điện thoại liên hệ khi cần hỏi thêm</t>
  </si>
  <si>
    <t>PHẦN 1 — CÁC CÂU HỎI CHỈ ANH/CHỊ TRẢ LỜI ĐƯỢC</t>
  </si>
  <si>
    <t>Đây là sheet quan trọng nhất. Điền cột màu vàng 'GIÁ TRỊ ĐIỀN'. Không cần hiểu kỹ thuật.</t>
  </si>
  <si>
    <t>Ưu tiên P0 = thiếu là không chạy được. P1 = cần trước khi mở cho khách. P2 = có thì tốt.</t>
  </si>
  <si>
    <t>Mã</t>
  </si>
  <si>
    <t>Nhóm</t>
  </si>
  <si>
    <t>Câu hỏi</t>
  </si>
  <si>
    <t>Vì sao hệ thống cần</t>
  </si>
  <si>
    <t>Đơn vị / định dạng</t>
  </si>
  <si>
    <t>Ví dụ</t>
  </si>
  <si>
    <t>GIÁ TRỊ ĐIỀN</t>
  </si>
  <si>
    <t>Nguồn / tài liệu kèm theo</t>
  </si>
  <si>
    <t>Ưu tiên</t>
  </si>
  <si>
    <t>Trạng thái</t>
  </si>
  <si>
    <t>A01</t>
  </si>
  <si>
    <t>Doanh nghiệp</t>
  </si>
  <si>
    <t>Tên pháp lý đầy đủ của doanh nghiệp</t>
  </si>
  <si>
    <t>Hiện ở chân trang và trong hồ sơ gửi khách</t>
  </si>
  <si>
    <t>Văn bản</t>
  </si>
  <si>
    <t>Công ty TNHH Năng lượng ABC</t>
  </si>
  <si>
    <t>P0</t>
  </si>
  <si>
    <t>A02</t>
  </si>
  <si>
    <t>Tên thương hiệu muốn hiển thị trên app</t>
  </si>
  <si>
    <t>Tên khách nhìn thấy, có thể khác tên pháp lý</t>
  </si>
  <si>
    <t>ABC Solar</t>
  </si>
  <si>
    <t>A03</t>
  </si>
  <si>
    <t>Số hotline thật</t>
  </si>
  <si>
    <t>Số điện thoại</t>
  </si>
  <si>
    <t>A04</t>
  </si>
  <si>
    <t>Link Zalo OA hoặc số Zalo</t>
  </si>
  <si>
    <t>Hiện đang là link rỗng https://zalo.me/</t>
  </si>
  <si>
    <t>URL hoặc số</t>
  </si>
  <si>
    <t>A05</t>
  </si>
  <si>
    <t>Email nhận thông báo có lead mới</t>
  </si>
  <si>
    <t>Không có thì lead vào hệ thống mà không ai biết</t>
  </si>
  <si>
    <t>Email</t>
  </si>
  <si>
    <t>A06</t>
  </si>
  <si>
    <t>Địa chỉ showroom/văn phòng muốn hiện</t>
  </si>
  <si>
    <t>Tăng tin cậy. Để trống nếu không muốn hiện</t>
  </si>
  <si>
    <t>P1</t>
  </si>
  <si>
    <t>A07</t>
  </si>
  <si>
    <t>Cam kết phản hồi lead trong bao lâu</t>
  </si>
  <si>
    <t>Dùng để đặt kỳ vọng với khách trên form</t>
  </si>
  <si>
    <t>Giờ</t>
  </si>
  <si>
    <t>4 giờ trong giờ hành chính</t>
  </si>
  <si>
    <t>B01</t>
  </si>
  <si>
    <t>Chính sách giá</t>
  </si>
  <si>
    <t>Giá gói niêm yết đã gồm VAT chưa?</t>
  </si>
  <si>
    <t>Nếu tính sai chỗ này thì mọi con số hoàn vốn đều lệch</t>
  </si>
  <si>
    <t>Có / Không</t>
  </si>
  <si>
    <t>Có</t>
  </si>
  <si>
    <t>B02</t>
  </si>
  <si>
    <t>Thuế suất VAT áp dụng cho gói</t>
  </si>
  <si>
    <t>Cần để quy đổi giá trước/sau thuế</t>
  </si>
  <si>
    <t>%</t>
  </si>
  <si>
    <t>8</t>
  </si>
  <si>
    <t>B03</t>
  </si>
  <si>
    <t>Giá gói có hiệu lực đến ngày nào</t>
  </si>
  <si>
    <t>Hết hạn thì hệ thống phải ngừng báo giá đó</t>
  </si>
  <si>
    <t>dd/mm/yyyy</t>
  </si>
  <si>
    <t>31/12/2026</t>
  </si>
  <si>
    <t>B04</t>
  </si>
  <si>
    <t>Có khoản nào khách phải trả thêm ngoài giá gói? Nêu rõ từng khoản</t>
  </si>
  <si>
    <t>Nếu có mà không khai thì app đang hứa hụt chi phí cho khách</t>
  </si>
  <si>
    <t>Phí nâng mái tôn nếu cần: 1-3 tr</t>
  </si>
  <si>
    <t>B05</t>
  </si>
  <si>
    <t>Có trả góp không? Đối tác, lãi suất, kỳ hạn</t>
  </si>
  <si>
    <t>Có thể làm tăng tỷ lệ để lại liên hệ</t>
  </si>
  <si>
    <t>P2</t>
  </si>
  <si>
    <t>C01</t>
  </si>
  <si>
    <t>Vận hành</t>
  </si>
  <si>
    <t>Vệ sinh tấm pin bao nhiêu lần mỗi năm</t>
  </si>
  <si>
    <t>Vào chi phí vận hành trong biểu đồ hoàn vốn</t>
  </si>
  <si>
    <t>lần/năm</t>
  </si>
  <si>
    <t>2</t>
  </si>
  <si>
    <t>C02</t>
  </si>
  <si>
    <t>Chi phí mỗi lần vệ sinh</t>
  </si>
  <si>
    <t>Nếu miễn phí thì ghi 'miễn phí N năm đầu'</t>
  </si>
  <si>
    <t>VND hoặc văn bản</t>
  </si>
  <si>
    <t>500.000 hoặc miễn phí 2 năm</t>
  </si>
  <si>
    <t>C03</t>
  </si>
  <si>
    <t>Chi phí bảo trì định kỳ mỗi năm (ngoài vệ sinh)</t>
  </si>
  <si>
    <t>Vào chi phí vận hành</t>
  </si>
  <si>
    <t>VND/năm</t>
  </si>
  <si>
    <t>300.000</t>
  </si>
  <si>
    <t>C04</t>
  </si>
  <si>
    <t>Bảo hành thi công bao nhiêu năm</t>
  </si>
  <si>
    <t>Hiện chưa có trong dữ liệu gói</t>
  </si>
  <si>
    <t>năm</t>
  </si>
  <si>
    <t>5</t>
  </si>
  <si>
    <t>C05</t>
  </si>
  <si>
    <t>Có bán hợp đồng bảo trì trọn gói? Giá/năm</t>
  </si>
  <si>
    <t>Nguồn doanh thu thêm, có thể hiện trên app</t>
  </si>
  <si>
    <t>1.200.000</t>
  </si>
  <si>
    <t>D01</t>
  </si>
  <si>
    <t>Thay thiết bị</t>
  </si>
  <si>
    <t>Inverter dự kiến dùng được bao nhiêu năm rồi phải thay</t>
  </si>
  <si>
    <t>Biểu đồ hoàn vốn hiện là đường thẳng vì thiếu mốc này</t>
  </si>
  <si>
    <t>12</t>
  </si>
  <si>
    <t>D02</t>
  </si>
  <si>
    <t>Chi phí thay inverter ước tính</t>
  </si>
  <si>
    <t>Có thể ghi số tiền hoặc % giá gói</t>
  </si>
  <si>
    <t>VND hoặc %</t>
  </si>
  <si>
    <t>8.000.000 hoặc 15%</t>
  </si>
  <si>
    <t>D03</t>
  </si>
  <si>
    <t>Pin lưu trữ dự kiến dùng được bao nhiêu năm</t>
  </si>
  <si>
    <t>Quan trọng nhất vì hybrid là gói chủ lực và đắt nhất</t>
  </si>
  <si>
    <t>10</t>
  </si>
  <si>
    <t>D04</t>
  </si>
  <si>
    <t>Chi phí thay pin lưu trữ ước tính</t>
  </si>
  <si>
    <t>Khoản này có thể xóa sạch tiết kiệm nửa sau vòng đời</t>
  </si>
  <si>
    <t>VND</t>
  </si>
  <si>
    <t>18.000.000</t>
  </si>
  <si>
    <t>D05</t>
  </si>
  <si>
    <t>Bảo hành hiệu suất tấm pin: bao nhiêu năm, còn lại bao nhiêu %</t>
  </si>
  <si>
    <t>Dùng để tính suy giảm sản lượng theo năm</t>
  </si>
  <si>
    <t>năm / %</t>
  </si>
  <si>
    <t>25 năm / còn 84,8%</t>
  </si>
  <si>
    <t>E01</t>
  </si>
  <si>
    <t>Bán điện dư</t>
  </si>
  <si>
    <t>Công ty CÓ hỗ trợ khách làm thủ tục bán điện dư cho EVN không?</t>
  </si>
  <si>
    <t>Theo NĐ 58/2025 hộ dưới 100 kW được bán tối đa 20% sản lượng. Nếu công ty KHÔNG hỗ trợ thì app không được tính khoản thu này</t>
  </si>
  <si>
    <t>Có / Không / Tùy tỉnh</t>
  </si>
  <si>
    <t>E02</t>
  </si>
  <si>
    <t>Nếu có: đã làm được ở tỉnh nào, thủ tục mất bao lâu</t>
  </si>
  <si>
    <t>Để app chỉ hiện khoản thu này ở tỉnh làm được</t>
  </si>
  <si>
    <t>TP.HCM, khoảng 3-4 tuần</t>
  </si>
  <si>
    <t>E03</t>
  </si>
  <si>
    <t>Có thu phí dịch vụ làm thủ tục? Bao nhiêu</t>
  </si>
  <si>
    <t>Là chi phí của khách, phải trừ vào lợi ích</t>
  </si>
  <si>
    <t>Miễn phí</t>
  </si>
  <si>
    <t>E04</t>
  </si>
  <si>
    <t>Đã có khách nào thực nhận được tiền bán điện dư chưa?</t>
  </si>
  <si>
    <t>Nếu chưa ai nhận được thì không nên hứa với khách mới</t>
  </si>
  <si>
    <t>Có, 3 khách</t>
  </si>
  <si>
    <t>F01</t>
  </si>
  <si>
    <t>Gói pin</t>
  </si>
  <si>
    <t>Khi khách cần dự phòng mất điện, công ty giữ lại bao nhiêu % dung lượng pin?</t>
  </si>
  <si>
    <t>Phần giữ lại KHÔNG dùng để tiết kiệm tiền điện được. Hiện app đang hứa cả hai cùng lúc, điều không thể xảy ra</t>
  </si>
  <si>
    <t>30</t>
  </si>
  <si>
    <t>F02</t>
  </si>
  <si>
    <t>Bộ tải ưu tiên tiêu chuẩn công ty tư vấn, tổng bao nhiêu W</t>
  </si>
  <si>
    <t>Để kiểm tra gói có đáp ứng dự phòng được không</t>
  </si>
  <si>
    <t>W</t>
  </si>
  <si>
    <t>600 (đèn, tủ lạnh, wifi, 2 quạt)</t>
  </si>
  <si>
    <t>F03</t>
  </si>
  <si>
    <t>Thời gian dự phòng tiêu chuẩn công ty cam kết</t>
  </si>
  <si>
    <t>Đối chiếu với dung lượng pin thực tế</t>
  </si>
  <si>
    <t>giờ</t>
  </si>
  <si>
    <t>6</t>
  </si>
  <si>
    <t>F04</t>
  </si>
  <si>
    <t>Khi mất điện có cho pin xả sâu hơn bình thường không? Tới mức nào</t>
  </si>
  <si>
    <t>Ảnh hưởng tuổi thọ pin và thời gian dự phòng</t>
  </si>
  <si>
    <t>% DoD</t>
  </si>
  <si>
    <t>95</t>
  </si>
  <si>
    <t>G01</t>
  </si>
  <si>
    <t>Phạm vi</t>
  </si>
  <si>
    <t>Thời gian thi công trung bình từ lúc ký đến xong</t>
  </si>
  <si>
    <t>Đặt kỳ vọng cho khách</t>
  </si>
  <si>
    <t>ngày</t>
  </si>
  <si>
    <t>3</t>
  </si>
  <si>
    <t>G02</t>
  </si>
  <si>
    <t>Có phụ phí đi lại/vận chuyển theo khoảng cách? Mức nào</t>
  </si>
  <si>
    <t>Ảnh hưởng giá thực khách phải trả ở tỉnh xa</t>
  </si>
  <si>
    <t>Ngoài 50km: 15.000/km</t>
  </si>
  <si>
    <t>G03</t>
  </si>
  <si>
    <t>Danh sách tỉnh phục vụ</t>
  </si>
  <si>
    <t>ĐIỀN Ở SHEET 04_VUNG_PHUC_VU, không điền ở đây</t>
  </si>
  <si>
    <t>→ sheet 04</t>
  </si>
  <si>
    <t>—</t>
  </si>
  <si>
    <t>H01</t>
  </si>
  <si>
    <t>Hiển thị</t>
  </si>
  <si>
    <t>Xác nhận: hiển thị tiết kiệm dạng KHOẢNG (vd 1,3-1,8 triệu) thay vì một số cụ thể</t>
  </si>
  <si>
    <t>Đã thống nhất theo mục tiêu thu lead. Xác nhận lại để chốt</t>
  </si>
  <si>
    <t>H02</t>
  </si>
  <si>
    <t>Câu nhắn muốn hiện ngay trước form để lại số điện thoại</t>
  </si>
  <si>
    <t>Ảnh hưởng trực tiếp tỷ lệ để lại liên hệ</t>
  </si>
  <si>
    <t>1-2 câu</t>
  </si>
  <si>
    <t>Kỹ thuật sẽ khảo sát mái miễn phí...</t>
  </si>
  <si>
    <t>H03</t>
  </si>
  <si>
    <t>Có ưu đãi/khuyến mãi nào cần thể hiện không</t>
  </si>
  <si>
    <t>Tặng vệ sinh 2 năm đầu</t>
  </si>
  <si>
    <t>I01</t>
  </si>
  <si>
    <t>Dữ liệu đối chiếu</t>
  </si>
  <si>
    <t>Có thể xin bao nhiêu hộ cho phép dùng hóa đơn điện 12 tháng (đã xóa tên/SĐT)?</t>
  </si>
  <si>
    <t>ĐÂY LÀ THỨ LÀM SỐ LIỆU CHÍNH XÁC NHẤT. Không có thì mọi con số chỉ là mô hình lý thuyết</t>
  </si>
  <si>
    <t>số hộ</t>
  </si>
  <si>
    <t>I02</t>
  </si>
  <si>
    <t>Có bao nhiêu công trình đã lắp đang chạy để đối chiếu sản lượng thật?</t>
  </si>
  <si>
    <t>Dùng để kiểm tra mô hình sản lượng có đúng với thực tế không</t>
  </si>
  <si>
    <t>số công trình</t>
  </si>
  <si>
    <t>I03</t>
  </si>
  <si>
    <t>Có xuất được dữ liệu giám sát inverter (sản lượng theo ngày/giờ) không?</t>
  </si>
  <si>
    <t>Nếu có thì độ chính xác tăng rất nhiều. Thường xuất từ app hãng inverter</t>
  </si>
  <si>
    <t>PHẦN 2 — DANH MỤC GÓI ĐANG BÁN</t>
  </si>
  <si>
    <t>Một dòng cho mỗi gói bán thực tế. Anh/chị nói đã có sẵn dữ liệu này.</t>
  </si>
  <si>
    <t>LƯU Ý: cố tình KHÔNG có cột 'sản lượng nền kWh/tháng' như mẫu cũ. Sản lượng sẽ được tính từ công suất kWp × sản lượng riêng theo tỉnh, không nhập tay nữa.</t>
  </si>
  <si>
    <t>Mã gói *</t>
  </si>
  <si>
    <t>Tên gói *</t>
  </si>
  <si>
    <t>Mô tả ngắn cho khách *</t>
  </si>
  <si>
    <t>Đang bán *</t>
  </si>
  <si>
    <t>Thứ tự hiện *</t>
  </si>
  <si>
    <t>Loại hệ thống *</t>
  </si>
  <si>
    <t>Công suất tấm pin DC kWp *</t>
  </si>
  <si>
    <t>Công suất inverter kW *</t>
  </si>
  <si>
    <t>Số pha *</t>
  </si>
  <si>
    <t>Pin danh định kWh</t>
  </si>
  <si>
    <t>Pin dùng được thực tế kWh</t>
  </si>
  <si>
    <t>Giá trọn gói VND *</t>
  </si>
  <si>
    <t>Giá đã gồm VAT? *</t>
  </si>
  <si>
    <t>Diện tích mái tối thiểu m² *</t>
  </si>
  <si>
    <t>Hãng tấm pin *</t>
  </si>
  <si>
    <t>Model tấm pin *</t>
  </si>
  <si>
    <t>Công suất 1 tấm Wp *</t>
  </si>
  <si>
    <t>Số tấm *</t>
  </si>
  <si>
    <t>Hãng inverter *</t>
  </si>
  <si>
    <t>Model inverter *</t>
  </si>
  <si>
    <t>Hãng pin</t>
  </si>
  <si>
    <t>Model pin</t>
  </si>
  <si>
    <t>BH tấm pin (năm) *</t>
  </si>
  <si>
    <t>BH hiệu suất tấm (năm)</t>
  </si>
  <si>
    <t>BH inverter (năm) *</t>
  </si>
  <si>
    <t>BH pin (năm)</t>
  </si>
  <si>
    <t>BH thi công (năm) *</t>
  </si>
  <si>
    <t>Hạng mục ĐÃ bao gồm trong giá *</t>
  </si>
  <si>
    <t>Hạng mục KHÔNG bao gồm *</t>
  </si>
  <si>
    <t>Link báo giá / datasheet *</t>
  </si>
  <si>
    <t>Ghi chú</t>
  </si>
  <si>
    <t>PHẦN 3 — THÔNG SỐ THIẾT BỊ THEO DATASHEET</t>
  </si>
  <si>
    <t>Một dòng cho mỗi loại tấm pin / inverter / pin lưu trữ đang dùng. Số liệu lấy từ datasheet nhà cung cấp, không ước lượng.</t>
  </si>
  <si>
    <t>Các cột [PIN] là bắt buộc vì gói hybrid là sản phẩm chủ lực. Không có datasheet thì xin nhà cung cấp bản PDF.</t>
  </si>
  <si>
    <t>SKU / mã *</t>
  </si>
  <si>
    <t>Loại thiết bị *</t>
  </si>
  <si>
    <t>Hãng *</t>
  </si>
  <si>
    <t>Model *</t>
  </si>
  <si>
    <t>Đang dùng *</t>
  </si>
  <si>
    <t>Công suất danh định *</t>
  </si>
  <si>
    <t>Đơn vị *</t>
  </si>
  <si>
    <t>Hiệu suất %</t>
  </si>
  <si>
    <t>[PIN] Dung lượng danh định kWh</t>
  </si>
  <si>
    <t>[PIN] Dung lượng dùng được kWh</t>
  </si>
  <si>
    <t>[PIN] DoD %</t>
  </si>
  <si>
    <t>[PIN] Công suất NẠP tối đa kW</t>
  </si>
  <si>
    <t>[PIN] Công suất XẢ tối đa kW</t>
  </si>
  <si>
    <t>[PIN] Hiệu suất vòng %</t>
  </si>
  <si>
    <t>[PIN] Số chu kỳ bảo hành</t>
  </si>
  <si>
    <t>[TẤM] Suy giảm năm đầu %</t>
  </si>
  <si>
    <t>[TẤM] Suy giảm mỗi năm sau %</t>
  </si>
  <si>
    <t>[TẤM] Hiệu suất còn lại cuối BH %</t>
  </si>
  <si>
    <t>Hệ số nhiệt độ %/°C</t>
  </si>
  <si>
    <t>Số pha</t>
  </si>
  <si>
    <t>Link datasheet *</t>
  </si>
  <si>
    <t>Người xác minh</t>
  </si>
  <si>
    <t>PHẦN 4 — PHẠM VI PHỤC VỤ THEO 34 TỈNH/THÀNH (SAU SÁP NHẬP 01/07/2025)</t>
  </si>
  <si>
    <t>Hệ thống hiện đang dùng danh sách 63 tỉnh CŨ — đã hết hiệu lực. Đây là danh sách đúng theo Nghị quyết 202/2025/QH15 và Quyết định 19/2025/QĐ-TTg.</t>
  </si>
  <si>
    <t>Chỉ cần chọn 'Mức phục vụ' cho từng dòng. Cột 'Gồm tỉnh cũ' để anh/chị dễ nhận ra tỉnh mình quen gọi tên cũ.</t>
  </si>
  <si>
    <t>STT</t>
  </si>
  <si>
    <t>Mã hệ thống</t>
  </si>
  <si>
    <t>Tên tỉnh/thành 2025</t>
  </si>
  <si>
    <t>Gồm các tỉnh cũ (để nhận diện)</t>
  </si>
  <si>
    <t>Mức phục vụ *</t>
  </si>
  <si>
    <t>Tên đối tác thi công (nếu qua đối tác)</t>
  </si>
  <si>
    <t>Phụ phí đi lại VND</t>
  </si>
  <si>
    <t>Số công trình đã lắp</t>
  </si>
  <si>
    <t>ha-noi</t>
  </si>
  <si>
    <t>Thành phố Hà Nội</t>
  </si>
  <si>
    <t>Giữ nguyên</t>
  </si>
  <si>
    <t>cao-bang</t>
  </si>
  <si>
    <t>Cao Bằng</t>
  </si>
  <si>
    <t>tuyen-quang</t>
  </si>
  <si>
    <t>Tuyên Quang</t>
  </si>
  <si>
    <t>Tuyên Quang + Hà Giang</t>
  </si>
  <si>
    <t>dien-bien</t>
  </si>
  <si>
    <t>Điện Biên</t>
  </si>
  <si>
    <t>lai-chau</t>
  </si>
  <si>
    <t>Lai Châu</t>
  </si>
  <si>
    <t>son-la</t>
  </si>
  <si>
    <t>Sơn La</t>
  </si>
  <si>
    <t>lao-cai</t>
  </si>
  <si>
    <t>Lào Cai</t>
  </si>
  <si>
    <t>Lào Cai + Yên Bái</t>
  </si>
  <si>
    <t>thai-nguyen</t>
  </si>
  <si>
    <t>Thái Nguyên</t>
  </si>
  <si>
    <t>Thái Nguyên + Bắc Kạn</t>
  </si>
  <si>
    <t>lang-son</t>
  </si>
  <si>
    <t>Lạng Sơn</t>
  </si>
  <si>
    <t>quang-ninh</t>
  </si>
  <si>
    <t>Quảng Ninh</t>
  </si>
  <si>
    <t>bac-ninh</t>
  </si>
  <si>
    <t>Bắc Ninh</t>
  </si>
  <si>
    <t>Bắc Ninh + Bắc Giang</t>
  </si>
  <si>
    <t>phu-tho</t>
  </si>
  <si>
    <t>Phú Thọ</t>
  </si>
  <si>
    <t>Phú Thọ + Vĩnh Phúc + Hòa Bình</t>
  </si>
  <si>
    <t>hai-phong</t>
  </si>
  <si>
    <t>Thành phố Hải Phòng</t>
  </si>
  <si>
    <t>Hải Phòng + Hải Dương</t>
  </si>
  <si>
    <t>hung-yen</t>
  </si>
  <si>
    <t>Hưng Yên</t>
  </si>
  <si>
    <t>Hưng Yên + Thái Bình</t>
  </si>
  <si>
    <t>ninh-binh</t>
  </si>
  <si>
    <t>Ninh Bình</t>
  </si>
  <si>
    <t>Ninh Bình + Hà Nam + Nam Định</t>
  </si>
  <si>
    <t>thanh-hoa</t>
  </si>
  <si>
    <t>Thanh Hóa</t>
  </si>
  <si>
    <t>nghe-an</t>
  </si>
  <si>
    <t>Nghệ An</t>
  </si>
  <si>
    <t>ha-tinh</t>
  </si>
  <si>
    <t>Hà Tĩnh</t>
  </si>
  <si>
    <t>quang-tri</t>
  </si>
  <si>
    <t>Quảng Trị</t>
  </si>
  <si>
    <t>Quảng Trị + Quảng Bình</t>
  </si>
  <si>
    <t>hue</t>
  </si>
  <si>
    <t>Thành phố Huế</t>
  </si>
  <si>
    <t>da-nang</t>
  </si>
  <si>
    <t>Thành phố Đà Nẵng</t>
  </si>
  <si>
    <t>Đà Nẵng + Quảng Nam</t>
  </si>
  <si>
    <t>quang-ngai</t>
  </si>
  <si>
    <t>Quảng Ngãi</t>
  </si>
  <si>
    <t>Quảng Ngãi + Kon Tum</t>
  </si>
  <si>
    <t>gia-lai</t>
  </si>
  <si>
    <t>Gia Lai</t>
  </si>
  <si>
    <t>Gia Lai + Bình Định</t>
  </si>
  <si>
    <t>khanh-hoa</t>
  </si>
  <si>
    <t>Khánh Hòa</t>
  </si>
  <si>
    <t>Khánh Hòa + Ninh Thuận</t>
  </si>
  <si>
    <t>dak-lak</t>
  </si>
  <si>
    <t>Đắk Lắk</t>
  </si>
  <si>
    <t>Đắk Lắk + Phú Yên</t>
  </si>
  <si>
    <t>lam-dong</t>
  </si>
  <si>
    <t>Lâm Đồng</t>
  </si>
  <si>
    <t>Lâm Đồng + Đắk Nông + Bình Thuận</t>
  </si>
  <si>
    <t>dong-nai</t>
  </si>
  <si>
    <t>Đồng Nai</t>
  </si>
  <si>
    <t>Đồng Nai + Bình Phước</t>
  </si>
  <si>
    <t>ho-chi-minh</t>
  </si>
  <si>
    <t>Thành phố Hồ Chí Minh</t>
  </si>
  <si>
    <t>TP.HCM + Bình Dương + Bà Rịa - Vũng Tàu</t>
  </si>
  <si>
    <t>tay-ninh</t>
  </si>
  <si>
    <t>Tây Ninh</t>
  </si>
  <si>
    <t>Tây Ninh + Long An</t>
  </si>
  <si>
    <t>dong-thap</t>
  </si>
  <si>
    <t>Đồng Tháp</t>
  </si>
  <si>
    <t>Đồng Tháp + Tiền Giang</t>
  </si>
  <si>
    <t>vinh-long</t>
  </si>
  <si>
    <t>Vĩnh Long</t>
  </si>
  <si>
    <t>Vĩnh Long + Bến Tre + Trà Vinh</t>
  </si>
  <si>
    <t>an-giang</t>
  </si>
  <si>
    <t>An Giang</t>
  </si>
  <si>
    <t>An Giang + Kiên Giang</t>
  </si>
  <si>
    <t>can-tho</t>
  </si>
  <si>
    <t>Thành phố Cần Thơ</t>
  </si>
  <si>
    <t>Cần Thơ + Sóc Trăng + Hậu Giang</t>
  </si>
  <si>
    <t>ca-mau</t>
  </si>
  <si>
    <t>Cà Mau</t>
  </si>
  <si>
    <t>Cà Mau + Bạc Liêu</t>
  </si>
  <si>
    <t>Tổng số tỉnh tự thi công:</t>
  </si>
  <si>
    <t>Tổng số tỉnh qua đối tác:</t>
  </si>
  <si>
    <t>PHẦN 5 — HÓA ĐƠN ĐIỆN MẪU (THỨ QUYẾT ĐỊNH ĐỘ CHÍNH XÁC)</t>
  </si>
  <si>
    <t>Mỗi hộ một mã hồ sơ, 12 dòng cho 12 tháng liên tiếp. Đây là dữ liệu giá trị nhất trong cả file này.</t>
  </si>
  <si>
    <t>TUYỆT ĐỐI KHÔNG điền tên, số điện thoại, địa chỉ chi tiết hay mã khách hàng EVN. Chỉ cần mã hồ sơ tự đặt như HO-01, HO-02.</t>
  </si>
  <si>
    <t>Mã hồ sơ *</t>
  </si>
  <si>
    <t>Tỉnh/thành (theo sheet 04) *</t>
  </si>
  <si>
    <t>Loại nhà *</t>
  </si>
  <si>
    <t>Số người ở *</t>
  </si>
  <si>
    <t>Số điều hòa</t>
  </si>
  <si>
    <t>Ban ngày có người ở nhà? *</t>
  </si>
  <si>
    <t>Tháng (mm/yyyy) *</t>
  </si>
  <si>
    <t>Số ngày của kỳ</t>
  </si>
  <si>
    <t>Số kWh trong kỳ *</t>
  </si>
  <si>
    <t>Tổng tiền đã trả VND *</t>
  </si>
  <si>
    <t>Có nhiều hộ dùng chung công tơ?</t>
  </si>
  <si>
    <t>Diện tích mái khả dụng m²</t>
  </si>
  <si>
    <t>Số dòng đã điền:</t>
  </si>
  <si>
    <t>Mục tiêu tối thiểu: 10 hộ × 12 tháng = 120 dòng. Có 3 hộ vẫn tốt hơn không có hộ nào.</t>
  </si>
  <si>
    <t>PHẦN 6 — VIỆC CẦN KỸ SƯ ĐIỆN MẶT TRỜI LÀM (KHÔNG PHẢI VIỆC CỦA ANH/CHỊ)</t>
  </si>
  <si>
    <t>Anh/chị KHÔNG cần điền sheet này. Đây là danh sách để anh/chị biết cần giao cho ai hoặc thuê ngoài.</t>
  </si>
  <si>
    <t>Nếu công ty chưa có kỹ sư đủ chuyên môn, đây là phần bắt buộc phải thuê ngoài hoặc mua dữ liệu. Không nên tự đoán.</t>
  </si>
  <si>
    <t>Việc cần làm</t>
  </si>
  <si>
    <t>Vì sao bắt buộc</t>
  </si>
  <si>
    <t>Ai làm được</t>
  </si>
  <si>
    <t>Đầu ra mong đợi</t>
  </si>
  <si>
    <t>K01</t>
  </si>
  <si>
    <t>Sản lượng riêng theo tháng cho từng tỉnh phục vụ (kWh/kWp/tháng × 12)</t>
  </si>
  <si>
    <t>Hiện hệ thống dùng 1 con số cho cả năm. Hà Nội tháng 2-3 chỉ khoảng nửa tháng 5. Đây là lỗi nặng nhất khi phục vụ toàn quốc</t>
  </si>
  <si>
    <t>Kỹ sư nội bộ, hoặc thuê ngoài, hoặc mua từ PVsyst/PVGIS/Global Solar Atlas</t>
  </si>
  <si>
    <t>Bảng 34 tỉnh × 12 tháng, có nguồn và phương pháp</t>
  </si>
  <si>
    <t>K02</t>
  </si>
  <si>
    <t>Hệ số hiệu suất hệ thống (PR) và bảng chi tiết tổn hao</t>
  </si>
  <si>
    <t>Bức xạ mặt trời không phải sản lượng. Phải qua tổn hao nhiệt, bụi, dây dẫn, inverter</t>
  </si>
  <si>
    <t>Kỹ sư điện mặt trời</t>
  </si>
  <si>
    <t>Một giá trị PR có căn cứ, kèm bảng tổn hao từng thành phần</t>
  </si>
  <si>
    <t>K03</t>
  </si>
  <si>
    <t>Bảng suy giảm theo hướng mái và độ nghiêng</t>
  </si>
  <si>
    <t>Khách hướng Bắc và khách hướng Nam có sản lượng chênh nhau đáng kể</t>
  </si>
  <si>
    <t>Bảng tra hệ số theo hướng × độ nghiêng</t>
  </si>
  <si>
    <t>K04</t>
  </si>
  <si>
    <t>Biểu đồ phụ tải 24 giờ đại diện cho hộ gia đình Việt Nam</t>
  </si>
  <si>
    <t>Quyết định tỷ lệ tự dùng. Đây là biến ảnh hưởng tiền tiết kiệm mạnh nhất</t>
  </si>
  <si>
    <t>Kỹ sư, dựa trên dữ liệu giám sát hoặc nguồn nghiên cứu công bố</t>
  </si>
  <si>
    <t>Bảng 24 giờ × 12 tháng, hoặc ít nhất 3 kiểu hộ tiêu biểu</t>
  </si>
  <si>
    <t>K05</t>
  </si>
  <si>
    <t>Tối thiểu 10 ca nghiệm thu: tự tính tay rồi so với kết quả app</t>
  </si>
  <si>
    <t>Cách duy nhất chứng minh app tính đúng, không phải chỉ chạy được</t>
  </si>
  <si>
    <t>Kỹ sư + kế toán/tài chính</t>
  </si>
  <si>
    <t>Bảng tính độc lập, có người ký, sai số cho phép rõ ràng</t>
  </si>
  <si>
    <t>K06</t>
  </si>
  <si>
    <t>Xác nhận hệ thống có được phép đấu nối và bán điện dư ở từng tỉnh</t>
  </si>
  <si>
    <t>Điều kiện đấu nối và tiến độ xử lý của điện lực từng tỉnh khác nhau</t>
  </si>
  <si>
    <t>Người phụ trách quan hệ điện lực</t>
  </si>
  <si>
    <t>Danh sách tỉnh đã xác nhận làm được</t>
  </si>
  <si>
    <t>PHẦN 7 — NHỮNG THỨ ANH/CHỊ KHÔNG CẦN ĐIỀN (ĐỌC ĐỂ TIẾT KIỆM THỜI GIAN)</t>
  </si>
  <si>
    <t>Mẫu Excel cũ trong dự án (Mau-thu-thap-du-lieu-dien-mat-troi.xlsx) có nhiều ô giờ không còn cần nữa.</t>
  </si>
  <si>
    <t>Điền những ô này là mất công vô ích, và một số ô nếu điền sẽ làm hệ thống tính sai.</t>
  </si>
  <si>
    <t>Thứ trong mẫu cũ</t>
  </si>
  <si>
    <t>Có cần điền không</t>
  </si>
  <si>
    <t>Lý do</t>
  </si>
  <si>
    <t>Biểu giá điện 6 bậc và VAT</t>
  </si>
  <si>
    <t>KHÔNG CẦN</t>
  </si>
  <si>
    <t>Đã có trong hệ thống, lấy từ Quyết định 1279/QĐ-BCT (hiệu lực 10/5/2025) với nguồn chính thức. Lưu ý: sheet BIEU_GIA_DIEN trong mẫu cũ đang ghi cấu trúc 5 bậc không khớp với 6 bậc thực tế — đừng dùng sheet đó.</t>
  </si>
  <si>
    <t>Giá mua điện dư (đồng/kWh)</t>
  </si>
  <si>
    <t>Theo Nghị định 58/2025, giá này do đơn vị vận hành thị trường điện công bố vào tháng 1 hàng năm, không phải doanh nghiệp tự quyết. Anh/chị chỉ cần trả lời câu E01: công ty có hỗ trợ khách làm thủ tục hay không.</t>
  </si>
  <si>
    <t>Sản lượng nền kWh/tháng của từng gói</t>
  </si>
  <si>
    <t>KHÔNG CẦN — SẼ BỎ</t>
  </si>
  <si>
    <t>Con số này đang trộn lẫn dữ liệu sản phẩm với dữ liệu vùng miền, gây sai số. Sắp tới sản lượng sẽ được tính ra từ công suất kWp nhân với sản lượng riêng theo tỉnh và theo tháng.</t>
  </si>
  <si>
    <t>Hệ số tỉnh (một con số cho mỗi tỉnh)</t>
  </si>
  <si>
    <t>Thay bằng bảng sản lượng 12 tháng ở mục K01. Một con số không thể diễn tả được mùa mưa miền Bắc.</t>
  </si>
  <si>
    <t>Tỷ lệ dùng điện ban ngày mức thấp/trung bình/cao</t>
  </si>
  <si>
    <t>Ba con số phẳng này là nguyên nhân làm hệ thống tính tỷ lệ tự dùng cao hơn thực tế. Sẽ thay bằng biểu đồ phụ tải theo giờ ở mục K04.</t>
  </si>
  <si>
    <t>Số chu kỳ pin mỗi ngày, số ngày quy đổi một tháng</t>
  </si>
  <si>
    <t>Cách tính pin theo 'mỗi ngày một chu kỳ đầy' không đúng thực tế. Sẽ thay bằng mô phỏng theo giờ.</t>
  </si>
  <si>
    <t>Tỷ lệ chiết khấu, lãi suất vay để tính NPV/IRR</t>
  </si>
  <si>
    <t>Bản đầu không hiển thị NPV/IRR vì mục tiêu là thu thập khách quan tâm, không phải làm hồ sơ đầu tư.</t>
  </si>
  <si>
    <t>Trọng số xếp hạng gói (độ phù hợp, tự dùng, hoàn vốn)</t>
  </si>
  <si>
    <t>CHƯA CẦN</t>
  </si>
  <si>
    <t>Để kỹ thuật đề xuất con số trước, anh/chị chỉ cần xem và duyệt sau. Tự nghĩ ra trọng số bây giờ sẽ phải sửa lại.</t>
  </si>
  <si>
    <t>Giá điện bình quân quy đổi (2.800 đ/kWh)</t>
  </si>
  <si>
    <t>Hệ thống đã tính tiền điện theo đúng 6 bậc lũy tiến, không dùng giá bình quân nữa.</t>
  </si>
  <si>
    <t>DANH MỤC GIÁ TRỊ CHUẨN</t>
  </si>
  <si>
    <t>Các giá trị dùng cho ô có danh sách chọn.</t>
  </si>
  <si>
    <t>Không sửa cột nào ở sheet này. Cần thêm giá trị thì ghi vào cột Ghi chú của sheet tương ứng.</t>
  </si>
  <si>
    <t>Loại hệ thống</t>
  </si>
  <si>
    <t>Mức phục vụ</t>
  </si>
  <si>
    <t>Loại thiết bị</t>
  </si>
  <si>
    <t>Loại nhà</t>
  </si>
  <si>
    <t>Ban ngày có người</t>
  </si>
  <si>
    <t>Hòa lưới</t>
  </si>
  <si>
    <t>Tự thi công</t>
  </si>
  <si>
    <t>Tấm pin</t>
  </si>
  <si>
    <t>1 pha</t>
  </si>
  <si>
    <t>Nhà phố</t>
  </si>
  <si>
    <t>Có, cả ngày</t>
  </si>
  <si>
    <t>Không</t>
  </si>
  <si>
    <t>Hybrid</t>
  </si>
  <si>
    <t>Qua đối tác</t>
  </si>
  <si>
    <t>Inverter hòa lưới</t>
  </si>
  <si>
    <t>3 pha</t>
  </si>
  <si>
    <t>Nhà riêng có sân</t>
  </si>
  <si>
    <t>Có, buổi trưa</t>
  </si>
  <si>
    <t>Không phục vụ</t>
  </si>
  <si>
    <t>Inverter hybrid</t>
  </si>
  <si>
    <t>Cả hai</t>
  </si>
  <si>
    <t>Biệt thự</t>
  </si>
  <si>
    <t>Hầu như không</t>
  </si>
  <si>
    <t>Tùy tỉnh</t>
  </si>
  <si>
    <t>Pin lưu trữ</t>
  </si>
  <si>
    <t>Nhà xưởng nhỏ</t>
  </si>
  <si>
    <t>Khác</t>
  </si>
  <si>
    <t>Hiện đang là số mẫu 0924167167</t>
  </si>
  <si>
    <t>https://zalo.me/0924167167</t>
  </si>
  <si>
    <t>sales@evosolar.vn</t>
  </si>
  <si>
    <t>chưa có</t>
  </si>
  <si>
    <t>FE Credit, 0% 12 tháng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</si>
</sst>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5"/>
      <color rgb="FFFFFFFF"/>
      <name val="Calibri"/>
    </font>
    <font>
      <i/>
      <sz val="10"/>
      <color rgb="FF444444"/>
      <name val="Calibri"/>
    </font>
    <font>
      <b/>
      <sz val="10"/>
      <color rgb="FFFFFFFF"/>
      <name val="Calibri"/>
    </font>
    <font>
      <sz val="10"/>
      <name val="Calibri"/>
    </font>
    <font>
      <b/>
      <sz val="10"/>
      <name val="Calibri"/>
    </font>
    <font>
      <b/>
      <sz val="12"/>
      <color rgb="FF1F3864"/>
      <name val="Calibri"/>
    </font>
    <font>
      <b/>
      <sz val="12"/>
      <color rgb="FFC00000"/>
      <name val="Calibri"/>
    </font>
    <font>
      <sz val="10"/>
      <color rgb="FFC00000"/>
      <name val="Calibri"/>
    </font>
    <font>
      <sz val="10"/>
      <name val="Calibri"/>
      <family val="2"/>
    </font>
    <font>
      <u/>
      <sz val="11"/>
      <color theme="10"/>
      <name val="Calibri"/>
      <family val="2"/>
      <scheme val="minor"/>
    </font>
  </fonts>
  <fills count="10">
    <fill>
      <patternFill patternType="none"/>
    </fill>
    <fill>
      <patternFill patternType="gray125"/>
    </fill>
    <fill>
      <patternFill patternType="solid">
        <fgColor rgb="FF1F3864"/>
      </patternFill>
    </fill>
    <fill>
      <patternFill patternType="solid">
        <fgColor rgb="FF2E5C8A"/>
      </patternFill>
    </fill>
    <fill>
      <patternFill patternType="solid">
        <fgColor rgb="FFEDEDED"/>
      </patternFill>
    </fill>
    <fill>
      <patternFill patternType="solid">
        <fgColor rgb="FFFFF2CC"/>
      </patternFill>
    </fill>
    <fill>
      <patternFill patternType="solid">
        <fgColor rgb="FFFFC7CE"/>
      </patternFill>
    </fill>
    <fill>
      <patternFill patternType="solid">
        <fgColor rgb="FFFFEB9C"/>
      </patternFill>
    </fill>
    <fill>
      <patternFill patternType="solid">
        <fgColor rgb="FFD9EAD3"/>
      </patternFill>
    </fill>
    <fill>
      <patternFill patternType="solid">
        <fgColor rgb="FFDDEBF7"/>
      </patternFill>
    </fill>
  </fills>
  <borders count="3">
    <border>
      <left/>
      <right/>
      <top/>
      <bottom/>
      <diagonal/>
    </border>
    <border>
      <left style="thin">
        <color rgb="FFB0B0B0"/>
      </left>
      <right style="thin">
        <color rgb="FFB0B0B0"/>
      </right>
      <top style="thin">
        <color rgb="FFB0B0B0"/>
      </top>
      <bottom style="thin">
        <color rgb="FFB0B0B0"/>
      </bottom>
      <diagonal/>
    </border>
    <border>
      <left/>
      <right style="thin">
        <color rgb="FFB0B0B0"/>
      </right>
      <top style="thin">
        <color rgb="FFB0B0B0"/>
      </top>
      <bottom style="thin">
        <color rgb="FFB0B0B0"/>
      </bottom>
      <diagonal/>
    </border>
  </borders>
  <cellStyleXfs count="2">
    <xf numFmtId="0" fontId="0" fillId="0" borderId="0"/>
    <xf numFmtId="0" fontId="10" fillId="0" borderId="0" applyNumberFormat="0" applyFill="0" applyBorder="0" applyAlignment="0" applyProtection="0"/>
  </cellStyleXfs>
  <cellXfs count="30">
    <xf numFmtId="0" fontId="0" fillId="0" borderId="0" xfId="0"/>
    <xf numFmtId="0" fontId="2" fillId="0" borderId="0" xfId="0" applyFont="1"/>
    <xf numFmtId="0" fontId="6" fillId="0" borderId="0" xfId="0" applyFont="1"/>
    <xf numFmtId="0" fontId="3" fillId="3" borderId="1" xfId="0" applyFont="1" applyFill="1" applyBorder="1" applyAlignment="1">
      <alignment horizontal="center" vertical="center" wrapText="1"/>
    </xf>
    <xf numFmtId="0" fontId="4" fillId="0" borderId="1" xfId="0" applyFont="1" applyBorder="1"/>
    <xf numFmtId="0" fontId="5" fillId="9"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7" fillId="0" borderId="0" xfId="0" applyFont="1"/>
    <xf numFmtId="0" fontId="5" fillId="0" borderId="1" xfId="0" applyFont="1" applyBorder="1"/>
    <xf numFmtId="0" fontId="5" fillId="0" borderId="1" xfId="0" applyFont="1" applyBorder="1" applyAlignment="1">
      <alignment vertical="top" wrapText="1"/>
    </xf>
    <xf numFmtId="0" fontId="4" fillId="0" borderId="1" xfId="0" applyFont="1" applyBorder="1" applyAlignment="1">
      <alignment vertical="top" wrapText="1"/>
    </xf>
    <xf numFmtId="0" fontId="0" fillId="5" borderId="1" xfId="0" applyFill="1" applyBorder="1" applyAlignment="1">
      <alignment vertical="top"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4" fillId="5" borderId="1" xfId="0" applyFont="1" applyFill="1" applyBorder="1" applyAlignment="1">
      <alignment vertical="top" wrapText="1"/>
    </xf>
    <xf numFmtId="0" fontId="4" fillId="4" borderId="1" xfId="0" applyFont="1" applyFill="1" applyBorder="1" applyAlignment="1">
      <alignment horizontal="center" vertical="center" wrapText="1"/>
    </xf>
    <xf numFmtId="0" fontId="4" fillId="4" borderId="1" xfId="0" applyFont="1" applyFill="1" applyBorder="1"/>
    <xf numFmtId="0" fontId="5" fillId="4" borderId="1" xfId="0" applyFont="1" applyFill="1" applyBorder="1"/>
    <xf numFmtId="0" fontId="4" fillId="4" borderId="1" xfId="0" applyFont="1" applyFill="1" applyBorder="1" applyAlignment="1">
      <alignment vertical="top" wrapText="1"/>
    </xf>
    <xf numFmtId="0" fontId="5" fillId="0" borderId="0" xfId="0" applyFont="1"/>
    <xf numFmtId="0" fontId="2" fillId="0" borderId="0" xfId="0" applyFont="1"/>
    <xf numFmtId="0" fontId="0" fillId="0" borderId="0" xfId="0"/>
    <xf numFmtId="0" fontId="4" fillId="0" borderId="0" xfId="0" applyFont="1" applyAlignment="1">
      <alignment vertical="top" wrapText="1"/>
    </xf>
    <xf numFmtId="0" fontId="0" fillId="5" borderId="1" xfId="0" applyFill="1" applyBorder="1"/>
    <xf numFmtId="0" fontId="0" fillId="0" borderId="2" xfId="0" applyBorder="1"/>
    <xf numFmtId="0" fontId="1" fillId="2" borderId="0" xfId="0" applyFont="1" applyFill="1" applyAlignment="1">
      <alignment horizontal="left" vertical="center" indent="1"/>
    </xf>
    <xf numFmtId="0" fontId="8" fillId="0" borderId="0" xfId="0" applyFont="1" applyAlignment="1">
      <alignment vertical="top" wrapText="1"/>
    </xf>
    <xf numFmtId="0" fontId="9" fillId="0" borderId="1" xfId="0" applyFont="1" applyBorder="1" applyAlignment="1">
      <alignment vertical="top" wrapText="1"/>
    </xf>
    <xf numFmtId="0" fontId="10" fillId="0" borderId="1" xfId="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mailto:sales@evosolar.vn" TargetMode="External"/><Relationship Id="rId1" Type="http://schemas.openxmlformats.org/officeDocument/2006/relationships/hyperlink" Target="https://zalo.me/09241671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topLeftCell="A4" zoomScale="325" workbookViewId="0">
      <selection sqref="A1:F1"/>
    </sheetView>
  </sheetViews>
  <sheetFormatPr baseColWidth="10" defaultColWidth="8.83203125" defaultRowHeight="15" x14ac:dyDescent="0.2"/>
  <cols>
    <col min="1" max="1" width="46" customWidth="1"/>
    <col min="2" max="2" width="14" customWidth="1"/>
    <col min="3" max="3" width="18" customWidth="1"/>
    <col min="4" max="6" width="3" customWidth="1"/>
  </cols>
  <sheetData>
    <row r="1" spans="1:6" ht="26" customHeight="1" x14ac:dyDescent="0.2">
      <c r="A1" s="26" t="s">
        <v>0</v>
      </c>
      <c r="B1" s="22"/>
      <c r="C1" s="22"/>
      <c r="D1" s="22"/>
      <c r="E1" s="22"/>
      <c r="F1" s="22"/>
    </row>
    <row r="2" spans="1:6" x14ac:dyDescent="0.2">
      <c r="A2" s="21" t="s">
        <v>1</v>
      </c>
      <c r="B2" s="22"/>
      <c r="C2" s="22"/>
      <c r="D2" s="22"/>
      <c r="E2" s="22"/>
      <c r="F2" s="22"/>
    </row>
    <row r="3" spans="1:6" x14ac:dyDescent="0.2">
      <c r="A3" s="21" t="s">
        <v>2</v>
      </c>
      <c r="B3" s="22"/>
      <c r="C3" s="22"/>
      <c r="D3" s="22"/>
      <c r="E3" s="22"/>
      <c r="F3" s="22"/>
    </row>
    <row r="5" spans="1:6" ht="16" x14ac:dyDescent="0.2">
      <c r="A5" s="2" t="s">
        <v>3</v>
      </c>
    </row>
    <row r="6" spans="1:6" ht="42" customHeight="1" x14ac:dyDescent="0.2">
      <c r="A6" s="3" t="s">
        <v>4</v>
      </c>
      <c r="B6" s="3" t="s">
        <v>5</v>
      </c>
      <c r="C6" s="3" t="s">
        <v>6</v>
      </c>
      <c r="D6" s="3"/>
      <c r="E6" s="3"/>
      <c r="F6" s="3"/>
    </row>
    <row r="7" spans="1:6" x14ac:dyDescent="0.2">
      <c r="A7" s="4" t="s">
        <v>7</v>
      </c>
      <c r="B7" s="5">
        <f>SUMPRODUCT(('01_CAU_HOI_CHINH'!I6:I44="P0")*(TRIM('01_CAU_HOI_CHINH'!G6:G44)&lt;&gt;""))</f>
        <v>0</v>
      </c>
      <c r="C7" s="6">
        <f>SUMPRODUCT(--('01_CAU_HOI_CHINH'!I6:I44="P0"))</f>
        <v>25</v>
      </c>
    </row>
    <row r="8" spans="1:6" x14ac:dyDescent="0.2">
      <c r="A8" s="4" t="s">
        <v>8</v>
      </c>
      <c r="B8" s="5">
        <f>COUNTIF('01_CAU_HOI_CHINH'!J6:J44,"Đã điền")</f>
        <v>0</v>
      </c>
      <c r="C8" s="6">
        <f>COUNTA('01_CAU_HOI_CHINH'!A6:A44)</f>
        <v>39</v>
      </c>
    </row>
    <row r="9" spans="1:6" x14ac:dyDescent="0.2">
      <c r="A9" s="4" t="s">
        <v>9</v>
      </c>
      <c r="B9" s="5">
        <f>COUNTA('02_GOI_SAN_PHAM'!A6:A30)</f>
        <v>0</v>
      </c>
      <c r="C9" s="6" t="s">
        <v>10</v>
      </c>
    </row>
    <row r="10" spans="1:6" x14ac:dyDescent="0.2">
      <c r="A10" s="4" t="s">
        <v>11</v>
      </c>
      <c r="B10" s="5">
        <f>COUNTA('03_THIET_BI'!A6:A40)</f>
        <v>0</v>
      </c>
      <c r="C10" s="6" t="s">
        <v>10</v>
      </c>
    </row>
    <row r="11" spans="1:6" x14ac:dyDescent="0.2">
      <c r="A11" s="4" t="s">
        <v>12</v>
      </c>
      <c r="B11" s="5">
        <f>COUNTA('04_VUNG_PHUC_VU'!E6:E39)</f>
        <v>0</v>
      </c>
      <c r="C11" s="6" t="s">
        <v>13</v>
      </c>
    </row>
    <row r="12" spans="1:6" x14ac:dyDescent="0.2">
      <c r="A12" s="4" t="s">
        <v>14</v>
      </c>
      <c r="B12" s="5">
        <f>COUNTA('05_HOA_DON_MAU'!I6:I105)</f>
        <v>0</v>
      </c>
      <c r="C12" s="6" t="s">
        <v>15</v>
      </c>
    </row>
    <row r="14" spans="1:6" ht="16" x14ac:dyDescent="0.2">
      <c r="A14" s="2" t="s">
        <v>16</v>
      </c>
    </row>
    <row r="15" spans="1:6" ht="17" customHeight="1" x14ac:dyDescent="0.2">
      <c r="A15" s="23" t="s">
        <v>17</v>
      </c>
      <c r="B15" s="22"/>
      <c r="C15" s="22"/>
      <c r="D15" s="22"/>
      <c r="E15" s="22"/>
      <c r="F15" s="22"/>
    </row>
    <row r="16" spans="1:6" ht="17" customHeight="1" x14ac:dyDescent="0.2">
      <c r="A16" s="23" t="s">
        <v>18</v>
      </c>
      <c r="B16" s="22"/>
      <c r="C16" s="22"/>
      <c r="D16" s="22"/>
      <c r="E16" s="22"/>
      <c r="F16" s="22"/>
    </row>
    <row r="17" spans="1:6" ht="17" customHeight="1" x14ac:dyDescent="0.2">
      <c r="A17" s="23" t="s">
        <v>19</v>
      </c>
      <c r="B17" s="22"/>
      <c r="C17" s="22"/>
      <c r="D17" s="22"/>
      <c r="E17" s="22"/>
      <c r="F17" s="22"/>
    </row>
    <row r="18" spans="1:6" ht="17" customHeight="1" x14ac:dyDescent="0.2">
      <c r="A18" s="23" t="s">
        <v>20</v>
      </c>
      <c r="B18" s="22"/>
      <c r="C18" s="22"/>
      <c r="D18" s="22"/>
      <c r="E18" s="22"/>
      <c r="F18" s="22"/>
    </row>
    <row r="19" spans="1:6" ht="17" customHeight="1" x14ac:dyDescent="0.2">
      <c r="A19" s="23" t="s">
        <v>21</v>
      </c>
      <c r="B19" s="22"/>
      <c r="C19" s="22"/>
      <c r="D19" s="22"/>
      <c r="E19" s="22"/>
      <c r="F19" s="22"/>
    </row>
    <row r="20" spans="1:6" ht="17" customHeight="1" x14ac:dyDescent="0.2">
      <c r="A20" s="23" t="s">
        <v>22</v>
      </c>
      <c r="B20" s="22"/>
      <c r="C20" s="22"/>
      <c r="D20" s="22"/>
      <c r="E20" s="22"/>
      <c r="F20" s="22"/>
    </row>
    <row r="21" spans="1:6" ht="17" customHeight="1" x14ac:dyDescent="0.2">
      <c r="A21" s="23" t="s">
        <v>23</v>
      </c>
      <c r="B21" s="22"/>
      <c r="C21" s="22"/>
      <c r="D21" s="22"/>
      <c r="E21" s="22"/>
      <c r="F21" s="22"/>
    </row>
    <row r="22" spans="1:6" ht="17" customHeight="1" x14ac:dyDescent="0.2">
      <c r="A22" s="23" t="s">
        <v>24</v>
      </c>
      <c r="B22" s="22"/>
      <c r="C22" s="22"/>
      <c r="D22" s="22"/>
      <c r="E22" s="22"/>
      <c r="F22" s="22"/>
    </row>
    <row r="24" spans="1:6" ht="16" x14ac:dyDescent="0.2">
      <c r="A24" s="7" t="s">
        <v>25</v>
      </c>
    </row>
    <row r="25" spans="1:6" ht="30" customHeight="1" x14ac:dyDescent="0.2">
      <c r="A25" s="27" t="s">
        <v>26</v>
      </c>
      <c r="B25" s="22"/>
      <c r="C25" s="22"/>
      <c r="D25" s="22"/>
      <c r="E25" s="22"/>
      <c r="F25" s="22"/>
    </row>
    <row r="26" spans="1:6" ht="30" customHeight="1" x14ac:dyDescent="0.2">
      <c r="A26" s="27" t="s">
        <v>27</v>
      </c>
      <c r="B26" s="22"/>
      <c r="C26" s="22"/>
      <c r="D26" s="22"/>
      <c r="E26" s="22"/>
      <c r="F26" s="22"/>
    </row>
    <row r="27" spans="1:6" ht="30" customHeight="1" x14ac:dyDescent="0.2">
      <c r="A27" s="27" t="s">
        <v>28</v>
      </c>
      <c r="B27" s="22"/>
      <c r="C27" s="22"/>
      <c r="D27" s="22"/>
      <c r="E27" s="22"/>
      <c r="F27" s="22"/>
    </row>
    <row r="29" spans="1:6" ht="16" x14ac:dyDescent="0.2">
      <c r="A29" s="2" t="s">
        <v>29</v>
      </c>
    </row>
    <row r="30" spans="1:6" x14ac:dyDescent="0.2">
      <c r="A30" s="8" t="s">
        <v>30</v>
      </c>
      <c r="B30" s="24"/>
      <c r="C30" s="25"/>
    </row>
    <row r="31" spans="1:6" x14ac:dyDescent="0.2">
      <c r="A31" s="8" t="s">
        <v>31</v>
      </c>
      <c r="B31" s="24"/>
      <c r="C31" s="25"/>
    </row>
    <row r="32" spans="1:6" x14ac:dyDescent="0.2">
      <c r="A32" s="8" t="s">
        <v>32</v>
      </c>
      <c r="B32" s="24"/>
      <c r="C32" s="25"/>
    </row>
    <row r="33" spans="1:3" x14ac:dyDescent="0.2">
      <c r="A33" s="8" t="s">
        <v>33</v>
      </c>
      <c r="B33" s="24"/>
      <c r="C33" s="25"/>
    </row>
  </sheetData>
  <mergeCells count="18">
    <mergeCell ref="A1:F1"/>
    <mergeCell ref="A27:F27"/>
    <mergeCell ref="A26:F26"/>
    <mergeCell ref="A22:F22"/>
    <mergeCell ref="A17:F17"/>
    <mergeCell ref="A18:F18"/>
    <mergeCell ref="A3:F3"/>
    <mergeCell ref="A21:F21"/>
    <mergeCell ref="A20:F20"/>
    <mergeCell ref="A15:F15"/>
    <mergeCell ref="A25:F25"/>
    <mergeCell ref="A2:F2"/>
    <mergeCell ref="A16:F16"/>
    <mergeCell ref="B30:C30"/>
    <mergeCell ref="B33:C33"/>
    <mergeCell ref="A19:F19"/>
    <mergeCell ref="B31:C31"/>
    <mergeCell ref="B32:C3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tabSelected="1" zoomScale="176" workbookViewId="0">
      <pane xSplit="2" ySplit="5" topLeftCell="C6" activePane="bottomRight" state="frozen"/>
      <selection pane="topRight"/>
      <selection pane="bottomLeft"/>
      <selection pane="bottomRight" activeCell="F40" sqref="F40"/>
    </sheetView>
  </sheetViews>
  <sheetFormatPr baseColWidth="10" defaultColWidth="8.83203125" defaultRowHeight="15" x14ac:dyDescent="0.2"/>
  <cols>
    <col min="1" max="1" width="7" customWidth="1"/>
    <col min="2" max="2" width="16" customWidth="1"/>
    <col min="3" max="3" width="46" customWidth="1"/>
    <col min="4" max="4" width="44" customWidth="1"/>
    <col min="5" max="5" width="18" customWidth="1"/>
    <col min="6" max="6" width="24" customWidth="1"/>
    <col min="7" max="8" width="26" customWidth="1"/>
    <col min="9" max="9" width="9" customWidth="1"/>
    <col min="10" max="10" width="12" customWidth="1"/>
  </cols>
  <sheetData>
    <row r="1" spans="1:10" ht="26" customHeight="1" x14ac:dyDescent="0.2">
      <c r="A1" s="26" t="s">
        <v>34</v>
      </c>
      <c r="B1" s="22"/>
      <c r="C1" s="22"/>
      <c r="D1" s="22"/>
      <c r="E1" s="22"/>
      <c r="F1" s="22"/>
      <c r="G1" s="22"/>
      <c r="H1" s="22"/>
      <c r="I1" s="22"/>
      <c r="J1" s="22"/>
    </row>
    <row r="2" spans="1:10" x14ac:dyDescent="0.2">
      <c r="A2" s="21" t="s">
        <v>35</v>
      </c>
      <c r="B2" s="22"/>
      <c r="C2" s="22"/>
      <c r="D2" s="22"/>
      <c r="E2" s="22"/>
      <c r="F2" s="22"/>
      <c r="G2" s="22"/>
      <c r="H2" s="22"/>
      <c r="I2" s="22"/>
      <c r="J2" s="22"/>
    </row>
    <row r="3" spans="1:10" x14ac:dyDescent="0.2">
      <c r="A3" s="21" t="s">
        <v>36</v>
      </c>
      <c r="B3" s="22"/>
      <c r="C3" s="22"/>
      <c r="D3" s="22"/>
      <c r="E3" s="22"/>
      <c r="F3" s="22"/>
      <c r="G3" s="22"/>
      <c r="H3" s="22"/>
      <c r="I3" s="22"/>
      <c r="J3" s="22"/>
    </row>
    <row r="5" spans="1:10" ht="42" customHeight="1" x14ac:dyDescent="0.2">
      <c r="A5" s="3" t="s">
        <v>37</v>
      </c>
      <c r="B5" s="3" t="s">
        <v>38</v>
      </c>
      <c r="C5" s="3" t="s">
        <v>39</v>
      </c>
      <c r="D5" s="3" t="s">
        <v>40</v>
      </c>
      <c r="E5" s="3" t="s">
        <v>41</v>
      </c>
      <c r="F5" s="3" t="s">
        <v>42</v>
      </c>
      <c r="G5" s="3" t="s">
        <v>43</v>
      </c>
      <c r="H5" s="3" t="s">
        <v>44</v>
      </c>
      <c r="I5" s="3" t="s">
        <v>45</v>
      </c>
      <c r="J5" s="3" t="s">
        <v>46</v>
      </c>
    </row>
    <row r="6" spans="1:10" ht="34" customHeight="1" x14ac:dyDescent="0.2">
      <c r="A6" s="9" t="s">
        <v>47</v>
      </c>
      <c r="B6" s="10" t="s">
        <v>48</v>
      </c>
      <c r="C6" s="10" t="s">
        <v>49</v>
      </c>
      <c r="D6" s="10" t="s">
        <v>50</v>
      </c>
      <c r="E6" s="10" t="s">
        <v>51</v>
      </c>
      <c r="F6" s="10" t="s">
        <v>52</v>
      </c>
      <c r="G6" s="11"/>
      <c r="H6" s="11"/>
      <c r="I6" s="12" t="s">
        <v>53</v>
      </c>
      <c r="J6" s="6" t="str">
        <f t="shared" ref="J6:J44" si="0">IF(TRIM(G6)="","Chưa điền","Đã điền")</f>
        <v>Chưa điền</v>
      </c>
    </row>
    <row r="7" spans="1:10" ht="34" customHeight="1" x14ac:dyDescent="0.2">
      <c r="A7" s="9" t="s">
        <v>54</v>
      </c>
      <c r="B7" s="10" t="s">
        <v>48</v>
      </c>
      <c r="C7" s="10" t="s">
        <v>55</v>
      </c>
      <c r="D7" s="10" t="s">
        <v>56</v>
      </c>
      <c r="E7" s="10" t="s">
        <v>51</v>
      </c>
      <c r="F7" s="10" t="s">
        <v>57</v>
      </c>
      <c r="G7" s="11"/>
      <c r="H7" s="11"/>
      <c r="I7" s="12" t="s">
        <v>53</v>
      </c>
      <c r="J7" s="6" t="str">
        <f t="shared" si="0"/>
        <v>Chưa điền</v>
      </c>
    </row>
    <row r="8" spans="1:10" ht="34" customHeight="1" x14ac:dyDescent="0.2">
      <c r="A8" s="9" t="s">
        <v>58</v>
      </c>
      <c r="B8" s="10" t="s">
        <v>48</v>
      </c>
      <c r="C8" s="10" t="s">
        <v>59</v>
      </c>
      <c r="D8" s="28" t="s">
        <v>501</v>
      </c>
      <c r="E8" s="10" t="s">
        <v>60</v>
      </c>
      <c r="F8" s="10">
        <v>924167167</v>
      </c>
      <c r="G8" s="11"/>
      <c r="H8" s="11"/>
      <c r="I8" s="12" t="s">
        <v>53</v>
      </c>
      <c r="J8" s="6" t="str">
        <f t="shared" si="0"/>
        <v>Chưa điền</v>
      </c>
    </row>
    <row r="9" spans="1:10" ht="34" customHeight="1" x14ac:dyDescent="0.2">
      <c r="A9" s="9" t="s">
        <v>61</v>
      </c>
      <c r="B9" s="10" t="s">
        <v>48</v>
      </c>
      <c r="C9" s="10" t="s">
        <v>62</v>
      </c>
      <c r="D9" s="10" t="s">
        <v>63</v>
      </c>
      <c r="E9" s="10" t="s">
        <v>64</v>
      </c>
      <c r="F9" s="29" t="s">
        <v>502</v>
      </c>
      <c r="G9" s="11"/>
      <c r="H9" s="11"/>
      <c r="I9" s="12" t="s">
        <v>53</v>
      </c>
      <c r="J9" s="6" t="str">
        <f t="shared" si="0"/>
        <v>Chưa điền</v>
      </c>
    </row>
    <row r="10" spans="1:10" ht="34" customHeight="1" x14ac:dyDescent="0.2">
      <c r="A10" s="9" t="s">
        <v>65</v>
      </c>
      <c r="B10" s="10" t="s">
        <v>48</v>
      </c>
      <c r="C10" s="10" t="s">
        <v>66</v>
      </c>
      <c r="D10" s="10" t="s">
        <v>67</v>
      </c>
      <c r="E10" s="10" t="s">
        <v>68</v>
      </c>
      <c r="F10" s="29" t="s">
        <v>503</v>
      </c>
      <c r="G10" s="11"/>
      <c r="H10" s="11"/>
      <c r="I10" s="12" t="s">
        <v>53</v>
      </c>
      <c r="J10" s="6" t="str">
        <f t="shared" si="0"/>
        <v>Chưa điền</v>
      </c>
    </row>
    <row r="11" spans="1:10" ht="34" customHeight="1" x14ac:dyDescent="0.2">
      <c r="A11" s="9" t="s">
        <v>69</v>
      </c>
      <c r="B11" s="10" t="s">
        <v>48</v>
      </c>
      <c r="C11" s="10" t="s">
        <v>70</v>
      </c>
      <c r="D11" s="10" t="s">
        <v>71</v>
      </c>
      <c r="E11" s="10" t="s">
        <v>51</v>
      </c>
      <c r="F11" s="28" t="s">
        <v>504</v>
      </c>
      <c r="G11" s="11"/>
      <c r="H11" s="11"/>
      <c r="I11" s="13" t="s">
        <v>72</v>
      </c>
      <c r="J11" s="6" t="str">
        <f t="shared" si="0"/>
        <v>Chưa điền</v>
      </c>
    </row>
    <row r="12" spans="1:10" ht="34" customHeight="1" x14ac:dyDescent="0.2">
      <c r="A12" s="9" t="s">
        <v>73</v>
      </c>
      <c r="B12" s="10" t="s">
        <v>48</v>
      </c>
      <c r="C12" s="10" t="s">
        <v>74</v>
      </c>
      <c r="D12" s="10" t="s">
        <v>75</v>
      </c>
      <c r="E12" s="10" t="s">
        <v>76</v>
      </c>
      <c r="F12" s="10" t="s">
        <v>77</v>
      </c>
      <c r="G12" s="11"/>
      <c r="H12" s="11"/>
      <c r="I12" s="13" t="s">
        <v>72</v>
      </c>
      <c r="J12" s="6" t="str">
        <f t="shared" si="0"/>
        <v>Chưa điền</v>
      </c>
    </row>
    <row r="13" spans="1:10" ht="34" customHeight="1" x14ac:dyDescent="0.2">
      <c r="A13" s="9" t="s">
        <v>78</v>
      </c>
      <c r="B13" s="10" t="s">
        <v>79</v>
      </c>
      <c r="C13" s="10" t="s">
        <v>80</v>
      </c>
      <c r="D13" s="10" t="s">
        <v>81</v>
      </c>
      <c r="E13" s="10" t="s">
        <v>82</v>
      </c>
      <c r="F13" s="10" t="s">
        <v>83</v>
      </c>
      <c r="G13" s="11"/>
      <c r="H13" s="11"/>
      <c r="I13" s="12" t="s">
        <v>53</v>
      </c>
      <c r="J13" s="6" t="str">
        <f t="shared" si="0"/>
        <v>Chưa điền</v>
      </c>
    </row>
    <row r="14" spans="1:10" ht="34" customHeight="1" x14ac:dyDescent="0.2">
      <c r="A14" s="9" t="s">
        <v>84</v>
      </c>
      <c r="B14" s="10" t="s">
        <v>79</v>
      </c>
      <c r="C14" s="10" t="s">
        <v>85</v>
      </c>
      <c r="D14" s="10" t="s">
        <v>86</v>
      </c>
      <c r="E14" s="10" t="s">
        <v>87</v>
      </c>
      <c r="F14" s="10" t="s">
        <v>88</v>
      </c>
      <c r="G14" s="11"/>
      <c r="H14" s="11"/>
      <c r="I14" s="12" t="s">
        <v>53</v>
      </c>
      <c r="J14" s="6" t="str">
        <f t="shared" si="0"/>
        <v>Chưa điền</v>
      </c>
    </row>
    <row r="15" spans="1:10" ht="34" customHeight="1" x14ac:dyDescent="0.2">
      <c r="A15" s="9" t="s">
        <v>89</v>
      </c>
      <c r="B15" s="10" t="s">
        <v>79</v>
      </c>
      <c r="C15" s="10" t="s">
        <v>90</v>
      </c>
      <c r="D15" s="10" t="s">
        <v>91</v>
      </c>
      <c r="E15" s="10" t="s">
        <v>92</v>
      </c>
      <c r="F15" s="10" t="s">
        <v>93</v>
      </c>
      <c r="G15" s="11"/>
      <c r="H15" s="11"/>
      <c r="I15" s="12" t="s">
        <v>53</v>
      </c>
      <c r="J15" s="6" t="str">
        <f t="shared" si="0"/>
        <v>Chưa điền</v>
      </c>
    </row>
    <row r="16" spans="1:10" ht="34" customHeight="1" x14ac:dyDescent="0.2">
      <c r="A16" s="9" t="s">
        <v>94</v>
      </c>
      <c r="B16" s="10" t="s">
        <v>79</v>
      </c>
      <c r="C16" s="10" t="s">
        <v>95</v>
      </c>
      <c r="D16" s="10" t="s">
        <v>96</v>
      </c>
      <c r="E16" s="10" t="s">
        <v>51</v>
      </c>
      <c r="F16" s="10" t="s">
        <v>97</v>
      </c>
      <c r="G16" s="11"/>
      <c r="H16" s="11"/>
      <c r="I16" s="12" t="s">
        <v>53</v>
      </c>
      <c r="J16" s="6" t="str">
        <f t="shared" si="0"/>
        <v>Chưa điền</v>
      </c>
    </row>
    <row r="17" spans="1:10" ht="34" customHeight="1" x14ac:dyDescent="0.2">
      <c r="A17" s="9" t="s">
        <v>98</v>
      </c>
      <c r="B17" s="10" t="s">
        <v>79</v>
      </c>
      <c r="C17" s="10" t="s">
        <v>99</v>
      </c>
      <c r="D17" s="10" t="s">
        <v>100</v>
      </c>
      <c r="E17" s="10" t="s">
        <v>51</v>
      </c>
      <c r="F17" s="28" t="s">
        <v>505</v>
      </c>
      <c r="G17" s="11"/>
      <c r="H17" s="11"/>
      <c r="I17" s="14" t="s">
        <v>101</v>
      </c>
      <c r="J17" s="6" t="str">
        <f t="shared" si="0"/>
        <v>Chưa điền</v>
      </c>
    </row>
    <row r="18" spans="1:10" ht="34" customHeight="1" x14ac:dyDescent="0.2">
      <c r="A18" s="9" t="s">
        <v>102</v>
      </c>
      <c r="B18" s="10" t="s">
        <v>103</v>
      </c>
      <c r="C18" s="10" t="s">
        <v>104</v>
      </c>
      <c r="D18" s="10" t="s">
        <v>105</v>
      </c>
      <c r="E18" s="10" t="s">
        <v>106</v>
      </c>
      <c r="F18" s="10" t="s">
        <v>107</v>
      </c>
      <c r="G18" s="11"/>
      <c r="H18" s="11"/>
      <c r="I18" s="12" t="s">
        <v>53</v>
      </c>
      <c r="J18" s="6" t="str">
        <f t="shared" si="0"/>
        <v>Chưa điền</v>
      </c>
    </row>
    <row r="19" spans="1:10" ht="34" customHeight="1" x14ac:dyDescent="0.2">
      <c r="A19" s="9" t="s">
        <v>108</v>
      </c>
      <c r="B19" s="10" t="s">
        <v>103</v>
      </c>
      <c r="C19" s="10" t="s">
        <v>109</v>
      </c>
      <c r="D19" s="10" t="s">
        <v>110</v>
      </c>
      <c r="E19" s="10" t="s">
        <v>111</v>
      </c>
      <c r="F19" s="10" t="s">
        <v>112</v>
      </c>
      <c r="G19" s="11"/>
      <c r="H19" s="11"/>
      <c r="I19" s="12" t="s">
        <v>53</v>
      </c>
      <c r="J19" s="6" t="str">
        <f t="shared" si="0"/>
        <v>Chưa điền</v>
      </c>
    </row>
    <row r="20" spans="1:10" ht="34" customHeight="1" x14ac:dyDescent="0.2">
      <c r="A20" s="9" t="s">
        <v>113</v>
      </c>
      <c r="B20" s="10" t="s">
        <v>103</v>
      </c>
      <c r="C20" s="10" t="s">
        <v>114</v>
      </c>
      <c r="D20" s="10" t="s">
        <v>115</v>
      </c>
      <c r="E20" s="10" t="s">
        <v>116</v>
      </c>
      <c r="F20" s="10" t="s">
        <v>117</v>
      </c>
      <c r="G20" s="11"/>
      <c r="H20" s="11"/>
      <c r="I20" s="12" t="s">
        <v>53</v>
      </c>
      <c r="J20" s="6" t="str">
        <f t="shared" si="0"/>
        <v>Chưa điền</v>
      </c>
    </row>
    <row r="21" spans="1:10" ht="34" customHeight="1" x14ac:dyDescent="0.2">
      <c r="A21" s="9" t="s">
        <v>118</v>
      </c>
      <c r="B21" s="10" t="s">
        <v>103</v>
      </c>
      <c r="C21" s="10" t="s">
        <v>119</v>
      </c>
      <c r="D21" s="10" t="s">
        <v>120</v>
      </c>
      <c r="E21" s="10" t="s">
        <v>121</v>
      </c>
      <c r="F21" s="10" t="s">
        <v>122</v>
      </c>
      <c r="G21" s="11"/>
      <c r="H21" s="11"/>
      <c r="I21" s="12" t="s">
        <v>53</v>
      </c>
      <c r="J21" s="6" t="str">
        <f t="shared" si="0"/>
        <v>Chưa điền</v>
      </c>
    </row>
    <row r="22" spans="1:10" ht="34" customHeight="1" x14ac:dyDescent="0.2">
      <c r="A22" s="9" t="s">
        <v>123</v>
      </c>
      <c r="B22" s="10" t="s">
        <v>103</v>
      </c>
      <c r="C22" s="10" t="s">
        <v>124</v>
      </c>
      <c r="D22" s="10" t="s">
        <v>125</v>
      </c>
      <c r="E22" s="10" t="s">
        <v>116</v>
      </c>
      <c r="F22" s="10" t="s">
        <v>126</v>
      </c>
      <c r="G22" s="11"/>
      <c r="H22" s="11"/>
      <c r="I22" s="14" t="s">
        <v>101</v>
      </c>
      <c r="J22" s="6" t="str">
        <f t="shared" si="0"/>
        <v>Chưa điền</v>
      </c>
    </row>
    <row r="23" spans="1:10" ht="34" customHeight="1" x14ac:dyDescent="0.2">
      <c r="A23" s="9" t="s">
        <v>127</v>
      </c>
      <c r="B23" s="10" t="s">
        <v>128</v>
      </c>
      <c r="C23" s="10" t="s">
        <v>129</v>
      </c>
      <c r="D23" s="10" t="s">
        <v>130</v>
      </c>
      <c r="E23" s="10" t="s">
        <v>121</v>
      </c>
      <c r="F23" s="10" t="s">
        <v>131</v>
      </c>
      <c r="G23" s="11"/>
      <c r="H23" s="11"/>
      <c r="I23" s="12" t="s">
        <v>53</v>
      </c>
      <c r="J23" s="6" t="str">
        <f t="shared" si="0"/>
        <v>Chưa điền</v>
      </c>
    </row>
    <row r="24" spans="1:10" ht="34" customHeight="1" x14ac:dyDescent="0.2">
      <c r="A24" s="9" t="s">
        <v>132</v>
      </c>
      <c r="B24" s="10" t="s">
        <v>128</v>
      </c>
      <c r="C24" s="10" t="s">
        <v>133</v>
      </c>
      <c r="D24" s="10" t="s">
        <v>134</v>
      </c>
      <c r="E24" s="10" t="s">
        <v>135</v>
      </c>
      <c r="F24" s="10" t="s">
        <v>136</v>
      </c>
      <c r="G24" s="11"/>
      <c r="H24" s="11"/>
      <c r="I24" s="12" t="s">
        <v>53</v>
      </c>
      <c r="J24" s="6" t="str">
        <f t="shared" si="0"/>
        <v>Chưa điền</v>
      </c>
    </row>
    <row r="25" spans="1:10" ht="34" customHeight="1" x14ac:dyDescent="0.2">
      <c r="A25" s="9" t="s">
        <v>137</v>
      </c>
      <c r="B25" s="10" t="s">
        <v>128</v>
      </c>
      <c r="C25" s="10" t="s">
        <v>138</v>
      </c>
      <c r="D25" s="10" t="s">
        <v>139</v>
      </c>
      <c r="E25" s="10" t="s">
        <v>121</v>
      </c>
      <c r="F25" s="10" t="s">
        <v>140</v>
      </c>
      <c r="G25" s="11"/>
      <c r="H25" s="11"/>
      <c r="I25" s="12" t="s">
        <v>53</v>
      </c>
      <c r="J25" s="6" t="str">
        <f t="shared" si="0"/>
        <v>Chưa điền</v>
      </c>
    </row>
    <row r="26" spans="1:10" ht="34" customHeight="1" x14ac:dyDescent="0.2">
      <c r="A26" s="9" t="s">
        <v>141</v>
      </c>
      <c r="B26" s="10" t="s">
        <v>128</v>
      </c>
      <c r="C26" s="10" t="s">
        <v>142</v>
      </c>
      <c r="D26" s="10" t="s">
        <v>143</v>
      </c>
      <c r="E26" s="10" t="s">
        <v>144</v>
      </c>
      <c r="F26" s="10" t="s">
        <v>145</v>
      </c>
      <c r="G26" s="11"/>
      <c r="H26" s="11"/>
      <c r="I26" s="12" t="s">
        <v>53</v>
      </c>
      <c r="J26" s="6" t="str">
        <f t="shared" si="0"/>
        <v>Chưa điền</v>
      </c>
    </row>
    <row r="27" spans="1:10" ht="34" customHeight="1" x14ac:dyDescent="0.2">
      <c r="A27" s="9" t="s">
        <v>146</v>
      </c>
      <c r="B27" s="10" t="s">
        <v>128</v>
      </c>
      <c r="C27" s="10" t="s">
        <v>147</v>
      </c>
      <c r="D27" s="10" t="s">
        <v>148</v>
      </c>
      <c r="E27" s="10" t="s">
        <v>149</v>
      </c>
      <c r="F27" s="10" t="s">
        <v>150</v>
      </c>
      <c r="G27" s="11"/>
      <c r="H27" s="11"/>
      <c r="I27" s="13" t="s">
        <v>72</v>
      </c>
      <c r="J27" s="6" t="str">
        <f t="shared" si="0"/>
        <v>Chưa điền</v>
      </c>
    </row>
    <row r="28" spans="1:10" ht="34" customHeight="1" x14ac:dyDescent="0.2">
      <c r="A28" s="9" t="s">
        <v>151</v>
      </c>
      <c r="B28" s="10" t="s">
        <v>152</v>
      </c>
      <c r="C28" s="10" t="s">
        <v>153</v>
      </c>
      <c r="D28" s="10" t="s">
        <v>154</v>
      </c>
      <c r="E28" s="10" t="s">
        <v>155</v>
      </c>
      <c r="F28" s="10" t="s">
        <v>83</v>
      </c>
      <c r="G28" s="11"/>
      <c r="H28" s="11"/>
      <c r="I28" s="12" t="s">
        <v>53</v>
      </c>
      <c r="J28" s="6" t="str">
        <f t="shared" si="0"/>
        <v>Chưa điền</v>
      </c>
    </row>
    <row r="29" spans="1:10" ht="34" customHeight="1" x14ac:dyDescent="0.2">
      <c r="A29" s="9" t="s">
        <v>156</v>
      </c>
      <c r="B29" s="10" t="s">
        <v>152</v>
      </c>
      <c r="C29" s="10" t="s">
        <v>157</v>
      </c>
      <c r="D29" s="10" t="s">
        <v>158</v>
      </c>
      <c r="E29" s="10" t="s">
        <v>51</v>
      </c>
      <c r="F29" s="10" t="s">
        <v>159</v>
      </c>
      <c r="G29" s="11"/>
      <c r="H29" s="11"/>
      <c r="I29" s="13" t="s">
        <v>72</v>
      </c>
      <c r="J29" s="6" t="str">
        <f t="shared" si="0"/>
        <v>Chưa điền</v>
      </c>
    </row>
    <row r="30" spans="1:10" ht="34" customHeight="1" x14ac:dyDescent="0.2">
      <c r="A30" s="9" t="s">
        <v>160</v>
      </c>
      <c r="B30" s="10" t="s">
        <v>152</v>
      </c>
      <c r="C30" s="10" t="s">
        <v>161</v>
      </c>
      <c r="D30" s="10" t="s">
        <v>162</v>
      </c>
      <c r="E30" s="10" t="s">
        <v>144</v>
      </c>
      <c r="F30" s="10" t="s">
        <v>163</v>
      </c>
      <c r="G30" s="11"/>
      <c r="H30" s="11"/>
      <c r="I30" s="13" t="s">
        <v>72</v>
      </c>
      <c r="J30" s="6" t="str">
        <f t="shared" si="0"/>
        <v>Chưa điền</v>
      </c>
    </row>
    <row r="31" spans="1:10" ht="34" customHeight="1" x14ac:dyDescent="0.2">
      <c r="A31" s="9" t="s">
        <v>164</v>
      </c>
      <c r="B31" s="10" t="s">
        <v>152</v>
      </c>
      <c r="C31" s="10" t="s">
        <v>165</v>
      </c>
      <c r="D31" s="10" t="s">
        <v>166</v>
      </c>
      <c r="E31" s="10" t="s">
        <v>82</v>
      </c>
      <c r="F31" s="10" t="s">
        <v>167</v>
      </c>
      <c r="G31" s="11"/>
      <c r="H31" s="11"/>
      <c r="I31" s="13" t="s">
        <v>72</v>
      </c>
      <c r="J31" s="6" t="str">
        <f t="shared" si="0"/>
        <v>Chưa điền</v>
      </c>
    </row>
    <row r="32" spans="1:10" ht="34" customHeight="1" x14ac:dyDescent="0.2">
      <c r="A32" s="9" t="s">
        <v>168</v>
      </c>
      <c r="B32" s="10" t="s">
        <v>169</v>
      </c>
      <c r="C32" s="10" t="s">
        <v>170</v>
      </c>
      <c r="D32" s="10" t="s">
        <v>171</v>
      </c>
      <c r="E32" s="10" t="s">
        <v>87</v>
      </c>
      <c r="F32" s="10" t="s">
        <v>172</v>
      </c>
      <c r="G32" s="11"/>
      <c r="H32" s="11"/>
      <c r="I32" s="12" t="s">
        <v>53</v>
      </c>
      <c r="J32" s="6" t="str">
        <f t="shared" si="0"/>
        <v>Chưa điền</v>
      </c>
    </row>
    <row r="33" spans="1:10" ht="34" customHeight="1" x14ac:dyDescent="0.2">
      <c r="A33" s="9" t="s">
        <v>173</v>
      </c>
      <c r="B33" s="10" t="s">
        <v>169</v>
      </c>
      <c r="C33" s="10" t="s">
        <v>174</v>
      </c>
      <c r="D33" s="10" t="s">
        <v>175</v>
      </c>
      <c r="E33" s="10" t="s">
        <v>176</v>
      </c>
      <c r="F33" s="10" t="s">
        <v>177</v>
      </c>
      <c r="G33" s="11"/>
      <c r="H33" s="11"/>
      <c r="I33" s="12" t="s">
        <v>53</v>
      </c>
      <c r="J33" s="6" t="str">
        <f t="shared" si="0"/>
        <v>Chưa điền</v>
      </c>
    </row>
    <row r="34" spans="1:10" ht="34" customHeight="1" x14ac:dyDescent="0.2">
      <c r="A34" s="9" t="s">
        <v>178</v>
      </c>
      <c r="B34" s="10" t="s">
        <v>169</v>
      </c>
      <c r="C34" s="10" t="s">
        <v>179</v>
      </c>
      <c r="D34" s="10" t="s">
        <v>180</v>
      </c>
      <c r="E34" s="10" t="s">
        <v>181</v>
      </c>
      <c r="F34" s="10" t="s">
        <v>182</v>
      </c>
      <c r="G34" s="11"/>
      <c r="H34" s="11"/>
      <c r="I34" s="12" t="s">
        <v>53</v>
      </c>
      <c r="J34" s="6" t="str">
        <f t="shared" si="0"/>
        <v>Chưa điền</v>
      </c>
    </row>
    <row r="35" spans="1:10" ht="34" customHeight="1" x14ac:dyDescent="0.2">
      <c r="A35" s="9" t="s">
        <v>183</v>
      </c>
      <c r="B35" s="10" t="s">
        <v>169</v>
      </c>
      <c r="C35" s="10" t="s">
        <v>184</v>
      </c>
      <c r="D35" s="10" t="s">
        <v>185</v>
      </c>
      <c r="E35" s="10" t="s">
        <v>186</v>
      </c>
      <c r="F35" s="10" t="s">
        <v>187</v>
      </c>
      <c r="G35" s="11"/>
      <c r="H35" s="11"/>
      <c r="I35" s="13" t="s">
        <v>72</v>
      </c>
      <c r="J35" s="6" t="str">
        <f t="shared" si="0"/>
        <v>Chưa điền</v>
      </c>
    </row>
    <row r="36" spans="1:10" ht="34" customHeight="1" x14ac:dyDescent="0.2">
      <c r="A36" s="9" t="s">
        <v>188</v>
      </c>
      <c r="B36" s="10" t="s">
        <v>189</v>
      </c>
      <c r="C36" s="10" t="s">
        <v>190</v>
      </c>
      <c r="D36" s="10" t="s">
        <v>191</v>
      </c>
      <c r="E36" s="10" t="s">
        <v>192</v>
      </c>
      <c r="F36" s="10" t="s">
        <v>193</v>
      </c>
      <c r="G36" s="11"/>
      <c r="H36" s="11"/>
      <c r="I36" s="13" t="s">
        <v>72</v>
      </c>
      <c r="J36" s="6" t="str">
        <f t="shared" si="0"/>
        <v>Chưa điền</v>
      </c>
    </row>
    <row r="37" spans="1:10" ht="34" customHeight="1" x14ac:dyDescent="0.2">
      <c r="A37" s="9" t="s">
        <v>194</v>
      </c>
      <c r="B37" s="10" t="s">
        <v>189</v>
      </c>
      <c r="C37" s="10" t="s">
        <v>195</v>
      </c>
      <c r="D37" s="10" t="s">
        <v>196</v>
      </c>
      <c r="E37" s="10" t="s">
        <v>51</v>
      </c>
      <c r="F37" s="10" t="s">
        <v>197</v>
      </c>
      <c r="G37" s="11"/>
      <c r="H37" s="11"/>
      <c r="I37" s="13" t="s">
        <v>72</v>
      </c>
      <c r="J37" s="6" t="str">
        <f t="shared" si="0"/>
        <v>Chưa điền</v>
      </c>
    </row>
    <row r="38" spans="1:10" ht="34" customHeight="1" x14ac:dyDescent="0.2">
      <c r="A38" s="9" t="s">
        <v>198</v>
      </c>
      <c r="B38" s="10" t="s">
        <v>189</v>
      </c>
      <c r="C38" s="10" t="s">
        <v>199</v>
      </c>
      <c r="D38" s="10" t="s">
        <v>200</v>
      </c>
      <c r="E38" s="10" t="s">
        <v>201</v>
      </c>
      <c r="F38" s="10" t="s">
        <v>202</v>
      </c>
      <c r="G38" s="11"/>
      <c r="H38" s="11"/>
      <c r="I38" s="12" t="s">
        <v>53</v>
      </c>
      <c r="J38" s="6" t="str">
        <f t="shared" si="0"/>
        <v>Chưa điền</v>
      </c>
    </row>
    <row r="39" spans="1:10" ht="34" customHeight="1" x14ac:dyDescent="0.2">
      <c r="A39" s="9" t="s">
        <v>203</v>
      </c>
      <c r="B39" s="10" t="s">
        <v>204</v>
      </c>
      <c r="C39" s="10" t="s">
        <v>205</v>
      </c>
      <c r="D39" s="10" t="s">
        <v>206</v>
      </c>
      <c r="E39" s="10" t="s">
        <v>82</v>
      </c>
      <c r="F39" s="10" t="s">
        <v>83</v>
      </c>
      <c r="G39" s="11"/>
      <c r="H39" s="11"/>
      <c r="I39" s="13" t="s">
        <v>72</v>
      </c>
      <c r="J39" s="6" t="str">
        <f t="shared" si="0"/>
        <v>Chưa điền</v>
      </c>
    </row>
    <row r="40" spans="1:10" ht="34" customHeight="1" x14ac:dyDescent="0.2">
      <c r="A40" s="9" t="s">
        <v>207</v>
      </c>
      <c r="B40" s="10" t="s">
        <v>204</v>
      </c>
      <c r="C40" s="10" t="s">
        <v>208</v>
      </c>
      <c r="D40" s="10" t="s">
        <v>209</v>
      </c>
      <c r="E40" s="10" t="s">
        <v>210</v>
      </c>
      <c r="F40" s="10" t="s">
        <v>211</v>
      </c>
      <c r="G40" s="11"/>
      <c r="H40" s="11"/>
      <c r="I40" s="13" t="s">
        <v>72</v>
      </c>
      <c r="J40" s="6" t="str">
        <f t="shared" si="0"/>
        <v>Chưa điền</v>
      </c>
    </row>
    <row r="41" spans="1:10" ht="34" customHeight="1" x14ac:dyDescent="0.2">
      <c r="A41" s="9" t="s">
        <v>212</v>
      </c>
      <c r="B41" s="10" t="s">
        <v>204</v>
      </c>
      <c r="C41" s="10" t="s">
        <v>213</v>
      </c>
      <c r="D41" s="10"/>
      <c r="E41" s="10" t="s">
        <v>51</v>
      </c>
      <c r="F41" s="10" t="s">
        <v>214</v>
      </c>
      <c r="G41" s="11"/>
      <c r="H41" s="11"/>
      <c r="I41" s="14" t="s">
        <v>101</v>
      </c>
      <c r="J41" s="6" t="str">
        <f t="shared" si="0"/>
        <v>Chưa điền</v>
      </c>
    </row>
    <row r="42" spans="1:10" ht="34" customHeight="1" x14ac:dyDescent="0.2">
      <c r="A42" s="9" t="s">
        <v>215</v>
      </c>
      <c r="B42" s="10" t="s">
        <v>216</v>
      </c>
      <c r="C42" s="10" t="s">
        <v>217</v>
      </c>
      <c r="D42" s="10" t="s">
        <v>218</v>
      </c>
      <c r="E42" s="10" t="s">
        <v>219</v>
      </c>
      <c r="F42" s="10" t="s">
        <v>140</v>
      </c>
      <c r="G42" s="11"/>
      <c r="H42" s="11"/>
      <c r="I42" s="12" t="s">
        <v>53</v>
      </c>
      <c r="J42" s="6" t="str">
        <f t="shared" si="0"/>
        <v>Chưa điền</v>
      </c>
    </row>
    <row r="43" spans="1:10" ht="34" customHeight="1" x14ac:dyDescent="0.2">
      <c r="A43" s="9" t="s">
        <v>220</v>
      </c>
      <c r="B43" s="10" t="s">
        <v>216</v>
      </c>
      <c r="C43" s="10" t="s">
        <v>221</v>
      </c>
      <c r="D43" s="10" t="s">
        <v>222</v>
      </c>
      <c r="E43" s="10" t="s">
        <v>223</v>
      </c>
      <c r="F43" s="10" t="s">
        <v>122</v>
      </c>
      <c r="G43" s="11"/>
      <c r="H43" s="11"/>
      <c r="I43" s="12" t="s">
        <v>53</v>
      </c>
      <c r="J43" s="6" t="str">
        <f t="shared" si="0"/>
        <v>Chưa điền</v>
      </c>
    </row>
    <row r="44" spans="1:10" ht="34" customHeight="1" x14ac:dyDescent="0.2">
      <c r="A44" s="9" t="s">
        <v>224</v>
      </c>
      <c r="B44" s="10" t="s">
        <v>216</v>
      </c>
      <c r="C44" s="10" t="s">
        <v>225</v>
      </c>
      <c r="D44" s="10" t="s">
        <v>226</v>
      </c>
      <c r="E44" s="10" t="s">
        <v>82</v>
      </c>
      <c r="F44" s="28" t="s">
        <v>83</v>
      </c>
      <c r="G44" s="11"/>
      <c r="H44" s="11"/>
      <c r="I44" s="12" t="s">
        <v>53</v>
      </c>
      <c r="J44" s="6" t="str">
        <f t="shared" si="0"/>
        <v>Chưa điền</v>
      </c>
    </row>
  </sheetData>
  <autoFilter ref="A5:J44" xr:uid="{00000000-0009-0000-0000-000001000000}"/>
  <mergeCells count="3">
    <mergeCell ref="A1:J1"/>
    <mergeCell ref="A3:J3"/>
    <mergeCell ref="A2:J2"/>
  </mergeCells>
  <hyperlinks>
    <hyperlink ref="F9" r:id="rId1" xr:uid="{98F24299-4B03-8F4B-92A4-D1634462FFBF}"/>
    <hyperlink ref="F10" r:id="rId2" xr:uid="{729316CA-4CF4-594E-9653-69E913221F58}"/>
  </hyperlink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100-000000000000}">
          <x14:formula1>
            <xm:f>'08_DANH_MUC'!$A$6:$A$7</xm:f>
          </x14:formula1>
          <xm:sqref>G13 G44 G39 G31</xm:sqref>
        </x14:dataValidation>
        <x14:dataValidation type="list" allowBlank="1" xr:uid="{00000000-0002-0000-0100-000001000000}">
          <x14:formula1>
            <xm:f>'08_DANH_MUC'!$H$6:$H$8</xm:f>
          </x14:formula1>
          <xm:sqref>G28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30"/>
  <sheetViews>
    <sheetView workbookViewId="0">
      <pane xSplit="2" ySplit="5" topLeftCell="C6" activePane="bottomRight" state="frozen"/>
      <selection pane="topRight"/>
      <selection pane="bottomLeft"/>
      <selection pane="bottomRight" sqref="A1:AE1"/>
    </sheetView>
  </sheetViews>
  <sheetFormatPr baseColWidth="10" defaultColWidth="8.83203125" defaultRowHeight="15" x14ac:dyDescent="0.2"/>
  <cols>
    <col min="1" max="1" width="12" customWidth="1"/>
    <col min="2" max="2" width="24" customWidth="1"/>
    <col min="3" max="3" width="34" customWidth="1"/>
    <col min="4" max="4" width="10" customWidth="1"/>
    <col min="5" max="5" width="9" customWidth="1"/>
    <col min="6" max="8" width="13" customWidth="1"/>
    <col min="9" max="9" width="10" customWidth="1"/>
    <col min="10" max="10" width="11" customWidth="1"/>
    <col min="11" max="11" width="13" customWidth="1"/>
    <col min="12" max="12" width="15" customWidth="1"/>
    <col min="13" max="13" width="12" customWidth="1"/>
    <col min="14" max="14" width="13" customWidth="1"/>
    <col min="15" max="15" width="15" customWidth="1"/>
    <col min="16" max="16" width="16" customWidth="1"/>
    <col min="17" max="17" width="11" customWidth="1"/>
    <col min="18" max="18" width="8" customWidth="1"/>
    <col min="19" max="19" width="15" customWidth="1"/>
    <col min="20" max="20" width="16" customWidth="1"/>
    <col min="21" max="22" width="14" customWidth="1"/>
    <col min="23" max="23" width="11" customWidth="1"/>
    <col min="24" max="25" width="12" customWidth="1"/>
    <col min="26" max="26" width="10" customWidth="1"/>
    <col min="27" max="27" width="12" customWidth="1"/>
    <col min="28" max="29" width="34" customWidth="1"/>
    <col min="30" max="30" width="26" customWidth="1"/>
    <col min="31" max="31" width="24" customWidth="1"/>
  </cols>
  <sheetData>
    <row r="1" spans="1:31" ht="26" customHeight="1" x14ac:dyDescent="0.2">
      <c r="A1" s="26" t="s">
        <v>227</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row>
    <row r="2" spans="1:31" x14ac:dyDescent="0.2">
      <c r="A2" s="21" t="s">
        <v>228</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row>
    <row r="3" spans="1:31" x14ac:dyDescent="0.2">
      <c r="A3" s="21" t="s">
        <v>229</v>
      </c>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row>
    <row r="5" spans="1:31" ht="42" customHeight="1" x14ac:dyDescent="0.2">
      <c r="A5" s="3" t="s">
        <v>230</v>
      </c>
      <c r="B5" s="3" t="s">
        <v>231</v>
      </c>
      <c r="C5" s="3" t="s">
        <v>232</v>
      </c>
      <c r="D5" s="3" t="s">
        <v>233</v>
      </c>
      <c r="E5" s="3" t="s">
        <v>234</v>
      </c>
      <c r="F5" s="3" t="s">
        <v>235</v>
      </c>
      <c r="G5" s="3" t="s">
        <v>236</v>
      </c>
      <c r="H5" s="3" t="s">
        <v>237</v>
      </c>
      <c r="I5" s="3" t="s">
        <v>238</v>
      </c>
      <c r="J5" s="3" t="s">
        <v>239</v>
      </c>
      <c r="K5" s="3" t="s">
        <v>240</v>
      </c>
      <c r="L5" s="3" t="s">
        <v>241</v>
      </c>
      <c r="M5" s="3" t="s">
        <v>242</v>
      </c>
      <c r="N5" s="3" t="s">
        <v>243</v>
      </c>
      <c r="O5" s="3" t="s">
        <v>244</v>
      </c>
      <c r="P5" s="3" t="s">
        <v>245</v>
      </c>
      <c r="Q5" s="3" t="s">
        <v>246</v>
      </c>
      <c r="R5" s="3" t="s">
        <v>247</v>
      </c>
      <c r="S5" s="3" t="s">
        <v>248</v>
      </c>
      <c r="T5" s="3" t="s">
        <v>249</v>
      </c>
      <c r="U5" s="3" t="s">
        <v>250</v>
      </c>
      <c r="V5" s="3" t="s">
        <v>251</v>
      </c>
      <c r="W5" s="3" t="s">
        <v>252</v>
      </c>
      <c r="X5" s="3" t="s">
        <v>253</v>
      </c>
      <c r="Y5" s="3" t="s">
        <v>254</v>
      </c>
      <c r="Z5" s="3" t="s">
        <v>255</v>
      </c>
      <c r="AA5" s="3" t="s">
        <v>256</v>
      </c>
      <c r="AB5" s="3" t="s">
        <v>257</v>
      </c>
      <c r="AC5" s="3" t="s">
        <v>258</v>
      </c>
      <c r="AD5" s="3" t="s">
        <v>259</v>
      </c>
      <c r="AE5" s="3" t="s">
        <v>260</v>
      </c>
    </row>
    <row r="6" spans="1:31" x14ac:dyDescent="0.2">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row>
    <row r="7" spans="1:31" x14ac:dyDescent="0.2">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row>
    <row r="8" spans="1:31" x14ac:dyDescent="0.2">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row>
    <row r="9" spans="1:31" x14ac:dyDescent="0.2">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row>
    <row r="10" spans="1:31" x14ac:dyDescent="0.2">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row>
    <row r="11" spans="1:31" x14ac:dyDescent="0.2">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row>
    <row r="12" spans="1:31" x14ac:dyDescent="0.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row>
    <row r="13" spans="1:31" x14ac:dyDescent="0.2">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row>
    <row r="14" spans="1:31" x14ac:dyDescent="0.2">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row>
    <row r="15" spans="1:31" x14ac:dyDescent="0.2">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row>
    <row r="16" spans="1:31" x14ac:dyDescent="0.2">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row>
    <row r="17" spans="1:31" x14ac:dyDescent="0.2">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row>
    <row r="18" spans="1:31" x14ac:dyDescent="0.2">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row>
    <row r="19" spans="1:31" x14ac:dyDescent="0.2">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row>
    <row r="20" spans="1:31" x14ac:dyDescent="0.2">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row>
    <row r="21" spans="1:31" x14ac:dyDescent="0.2">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row>
    <row r="22" spans="1:31" x14ac:dyDescent="0.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row>
    <row r="23" spans="1:31" x14ac:dyDescent="0.2">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row>
    <row r="24" spans="1:31" x14ac:dyDescent="0.2">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row>
    <row r="25" spans="1:31" x14ac:dyDescent="0.2">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row>
    <row r="26" spans="1:31" x14ac:dyDescent="0.2">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row>
    <row r="27" spans="1:31" x14ac:dyDescent="0.2">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row>
    <row r="28" spans="1:31" x14ac:dyDescent="0.2">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row>
    <row r="29" spans="1:31" x14ac:dyDescent="0.2">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row>
    <row r="30" spans="1:31" x14ac:dyDescent="0.2">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row>
  </sheetData>
  <mergeCells count="3">
    <mergeCell ref="A1:AE1"/>
    <mergeCell ref="A3:AE3"/>
    <mergeCell ref="A2:AE2"/>
  </mergeCell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200-000000000000}">
          <x14:formula1>
            <xm:f>'08_DANH_MUC'!$A$6:$A$7</xm:f>
          </x14:formula1>
          <xm:sqref>D6:D30 M6:M30</xm:sqref>
        </x14:dataValidation>
        <x14:dataValidation type="list" allowBlank="1" xr:uid="{00000000-0002-0000-0200-000001000000}">
          <x14:formula1>
            <xm:f>'08_DANH_MUC'!$B$6:$B$7</xm:f>
          </x14:formula1>
          <xm:sqref>F6:F30</xm:sqref>
        </x14:dataValidation>
        <x14:dataValidation type="list" allowBlank="1" xr:uid="{00000000-0002-0000-0200-000002000000}">
          <x14:formula1>
            <xm:f>'08_DANH_MUC'!$E$6:$E$8</xm:f>
          </x14:formula1>
          <xm:sqref>I6:I30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40"/>
  <sheetViews>
    <sheetView workbookViewId="0">
      <pane xSplit="2" ySplit="5" topLeftCell="C6" activePane="bottomRight" state="frozen"/>
      <selection pane="topRight"/>
      <selection pane="bottomLeft"/>
      <selection pane="bottomRight" sqref="A1:W1"/>
    </sheetView>
  </sheetViews>
  <sheetFormatPr baseColWidth="10" defaultColWidth="8.83203125" defaultRowHeight="15" x14ac:dyDescent="0.2"/>
  <cols>
    <col min="1" max="1" width="14" customWidth="1"/>
    <col min="2" max="2" width="17" customWidth="1"/>
    <col min="3" max="3" width="14" customWidth="1"/>
    <col min="4" max="4" width="18" customWidth="1"/>
    <col min="5" max="5" width="10" customWidth="1"/>
    <col min="6" max="6" width="13" customWidth="1"/>
    <col min="7" max="7" width="9" customWidth="1"/>
    <col min="8" max="8" width="10" customWidth="1"/>
    <col min="9" max="9" width="15" customWidth="1"/>
    <col min="10" max="10" width="16" customWidth="1"/>
    <col min="11" max="11" width="10" customWidth="1"/>
    <col min="12" max="13" width="15" customWidth="1"/>
    <col min="14" max="16" width="13" customWidth="1"/>
    <col min="17" max="18" width="15" customWidth="1"/>
    <col min="19" max="19" width="13" customWidth="1"/>
    <col min="20" max="20" width="10" customWidth="1"/>
    <col min="21" max="21" width="28" customWidth="1"/>
    <col min="22" max="22" width="14" customWidth="1"/>
    <col min="23" max="23" width="22" customWidth="1"/>
  </cols>
  <sheetData>
    <row r="1" spans="1:23" ht="26" customHeight="1" x14ac:dyDescent="0.2">
      <c r="A1" s="26" t="s">
        <v>261</v>
      </c>
      <c r="B1" s="22"/>
      <c r="C1" s="22"/>
      <c r="D1" s="22"/>
      <c r="E1" s="22"/>
      <c r="F1" s="22"/>
      <c r="G1" s="22"/>
      <c r="H1" s="22"/>
      <c r="I1" s="22"/>
      <c r="J1" s="22"/>
      <c r="K1" s="22"/>
      <c r="L1" s="22"/>
      <c r="M1" s="22"/>
      <c r="N1" s="22"/>
      <c r="O1" s="22"/>
      <c r="P1" s="22"/>
      <c r="Q1" s="22"/>
      <c r="R1" s="22"/>
      <c r="S1" s="22"/>
      <c r="T1" s="22"/>
      <c r="U1" s="22"/>
      <c r="V1" s="22"/>
      <c r="W1" s="22"/>
    </row>
    <row r="2" spans="1:23" x14ac:dyDescent="0.2">
      <c r="A2" s="21" t="s">
        <v>262</v>
      </c>
      <c r="B2" s="22"/>
      <c r="C2" s="22"/>
      <c r="D2" s="22"/>
      <c r="E2" s="22"/>
      <c r="F2" s="22"/>
      <c r="G2" s="22"/>
      <c r="H2" s="22"/>
      <c r="I2" s="22"/>
      <c r="J2" s="22"/>
      <c r="K2" s="22"/>
      <c r="L2" s="22"/>
      <c r="M2" s="22"/>
      <c r="N2" s="22"/>
      <c r="O2" s="22"/>
      <c r="P2" s="22"/>
      <c r="Q2" s="22"/>
      <c r="R2" s="22"/>
      <c r="S2" s="22"/>
      <c r="T2" s="22"/>
      <c r="U2" s="22"/>
      <c r="V2" s="22"/>
      <c r="W2" s="22"/>
    </row>
    <row r="3" spans="1:23" x14ac:dyDescent="0.2">
      <c r="A3" s="21" t="s">
        <v>263</v>
      </c>
      <c r="B3" s="22"/>
      <c r="C3" s="22"/>
      <c r="D3" s="22"/>
      <c r="E3" s="22"/>
      <c r="F3" s="22"/>
      <c r="G3" s="22"/>
      <c r="H3" s="22"/>
      <c r="I3" s="22"/>
      <c r="J3" s="22"/>
      <c r="K3" s="22"/>
      <c r="L3" s="22"/>
      <c r="M3" s="22"/>
      <c r="N3" s="22"/>
      <c r="O3" s="22"/>
      <c r="P3" s="22"/>
      <c r="Q3" s="22"/>
      <c r="R3" s="22"/>
      <c r="S3" s="22"/>
      <c r="T3" s="22"/>
      <c r="U3" s="22"/>
      <c r="V3" s="22"/>
      <c r="W3" s="22"/>
    </row>
    <row r="5" spans="1:23" ht="42" customHeight="1" x14ac:dyDescent="0.2">
      <c r="A5" s="3" t="s">
        <v>264</v>
      </c>
      <c r="B5" s="3" t="s">
        <v>265</v>
      </c>
      <c r="C5" s="3" t="s">
        <v>266</v>
      </c>
      <c r="D5" s="3" t="s">
        <v>267</v>
      </c>
      <c r="E5" s="3" t="s">
        <v>268</v>
      </c>
      <c r="F5" s="3" t="s">
        <v>269</v>
      </c>
      <c r="G5" s="3" t="s">
        <v>270</v>
      </c>
      <c r="H5" s="3" t="s">
        <v>271</v>
      </c>
      <c r="I5" s="3" t="s">
        <v>272</v>
      </c>
      <c r="J5" s="3" t="s">
        <v>273</v>
      </c>
      <c r="K5" s="3" t="s">
        <v>274</v>
      </c>
      <c r="L5" s="3" t="s">
        <v>275</v>
      </c>
      <c r="M5" s="3" t="s">
        <v>276</v>
      </c>
      <c r="N5" s="3" t="s">
        <v>277</v>
      </c>
      <c r="O5" s="3" t="s">
        <v>278</v>
      </c>
      <c r="P5" s="3" t="s">
        <v>279</v>
      </c>
      <c r="Q5" s="3" t="s">
        <v>280</v>
      </c>
      <c r="R5" s="3" t="s">
        <v>281</v>
      </c>
      <c r="S5" s="3" t="s">
        <v>282</v>
      </c>
      <c r="T5" s="3" t="s">
        <v>283</v>
      </c>
      <c r="U5" s="3" t="s">
        <v>284</v>
      </c>
      <c r="V5" s="3" t="s">
        <v>285</v>
      </c>
      <c r="W5" s="3" t="s">
        <v>260</v>
      </c>
    </row>
    <row r="6" spans="1:23" x14ac:dyDescent="0.2">
      <c r="A6" s="15"/>
      <c r="B6" s="15"/>
      <c r="C6" s="15"/>
      <c r="D6" s="15"/>
      <c r="E6" s="15"/>
      <c r="F6" s="15"/>
      <c r="G6" s="15"/>
      <c r="H6" s="15"/>
      <c r="I6" s="15"/>
      <c r="J6" s="15"/>
      <c r="K6" s="15"/>
      <c r="L6" s="15"/>
      <c r="M6" s="15"/>
      <c r="N6" s="15"/>
      <c r="O6" s="15"/>
      <c r="P6" s="15"/>
      <c r="Q6" s="15"/>
      <c r="R6" s="15"/>
      <c r="S6" s="15"/>
      <c r="T6" s="15"/>
      <c r="U6" s="15"/>
      <c r="V6" s="15"/>
      <c r="W6" s="15"/>
    </row>
    <row r="7" spans="1:23" x14ac:dyDescent="0.2">
      <c r="A7" s="15"/>
      <c r="B7" s="15"/>
      <c r="C7" s="15"/>
      <c r="D7" s="15"/>
      <c r="E7" s="15"/>
      <c r="F7" s="15"/>
      <c r="G7" s="15"/>
      <c r="H7" s="15"/>
      <c r="I7" s="15"/>
      <c r="J7" s="15"/>
      <c r="K7" s="15"/>
      <c r="L7" s="15"/>
      <c r="M7" s="15"/>
      <c r="N7" s="15"/>
      <c r="O7" s="15"/>
      <c r="P7" s="15"/>
      <c r="Q7" s="15"/>
      <c r="R7" s="15"/>
      <c r="S7" s="15"/>
      <c r="T7" s="15"/>
      <c r="U7" s="15"/>
      <c r="V7" s="15"/>
      <c r="W7" s="15"/>
    </row>
    <row r="8" spans="1:23" x14ac:dyDescent="0.2">
      <c r="A8" s="15"/>
      <c r="B8" s="15"/>
      <c r="C8" s="15"/>
      <c r="D8" s="15"/>
      <c r="E8" s="15"/>
      <c r="F8" s="15"/>
      <c r="G8" s="15"/>
      <c r="H8" s="15"/>
      <c r="I8" s="15"/>
      <c r="J8" s="15"/>
      <c r="K8" s="15"/>
      <c r="L8" s="15"/>
      <c r="M8" s="15"/>
      <c r="N8" s="15"/>
      <c r="O8" s="15"/>
      <c r="P8" s="15"/>
      <c r="Q8" s="15"/>
      <c r="R8" s="15"/>
      <c r="S8" s="15"/>
      <c r="T8" s="15"/>
      <c r="U8" s="15"/>
      <c r="V8" s="15"/>
      <c r="W8" s="15"/>
    </row>
    <row r="9" spans="1:23" x14ac:dyDescent="0.2">
      <c r="A9" s="15"/>
      <c r="B9" s="15"/>
      <c r="C9" s="15"/>
      <c r="D9" s="15"/>
      <c r="E9" s="15"/>
      <c r="F9" s="15"/>
      <c r="G9" s="15"/>
      <c r="H9" s="15"/>
      <c r="I9" s="15"/>
      <c r="J9" s="15"/>
      <c r="K9" s="15"/>
      <c r="L9" s="15"/>
      <c r="M9" s="15"/>
      <c r="N9" s="15"/>
      <c r="O9" s="15"/>
      <c r="P9" s="15"/>
      <c r="Q9" s="15"/>
      <c r="R9" s="15"/>
      <c r="S9" s="15"/>
      <c r="T9" s="15"/>
      <c r="U9" s="15"/>
      <c r="V9" s="15"/>
      <c r="W9" s="15"/>
    </row>
    <row r="10" spans="1:23" x14ac:dyDescent="0.2">
      <c r="A10" s="15"/>
      <c r="B10" s="15"/>
      <c r="C10" s="15"/>
      <c r="D10" s="15"/>
      <c r="E10" s="15"/>
      <c r="F10" s="15"/>
      <c r="G10" s="15"/>
      <c r="H10" s="15"/>
      <c r="I10" s="15"/>
      <c r="J10" s="15"/>
      <c r="K10" s="15"/>
      <c r="L10" s="15"/>
      <c r="M10" s="15"/>
      <c r="N10" s="15"/>
      <c r="O10" s="15"/>
      <c r="P10" s="15"/>
      <c r="Q10" s="15"/>
      <c r="R10" s="15"/>
      <c r="S10" s="15"/>
      <c r="T10" s="15"/>
      <c r="U10" s="15"/>
      <c r="V10" s="15"/>
      <c r="W10" s="15"/>
    </row>
    <row r="11" spans="1:23" x14ac:dyDescent="0.2">
      <c r="A11" s="15"/>
      <c r="B11" s="15"/>
      <c r="C11" s="15"/>
      <c r="D11" s="15"/>
      <c r="E11" s="15"/>
      <c r="F11" s="15"/>
      <c r="G11" s="15"/>
      <c r="H11" s="15"/>
      <c r="I11" s="15"/>
      <c r="J11" s="15"/>
      <c r="K11" s="15"/>
      <c r="L11" s="15"/>
      <c r="M11" s="15"/>
      <c r="N11" s="15"/>
      <c r="O11" s="15"/>
      <c r="P11" s="15"/>
      <c r="Q11" s="15"/>
      <c r="R11" s="15"/>
      <c r="S11" s="15"/>
      <c r="T11" s="15"/>
      <c r="U11" s="15"/>
      <c r="V11" s="15"/>
      <c r="W11" s="15"/>
    </row>
    <row r="12" spans="1:23" x14ac:dyDescent="0.2">
      <c r="A12" s="15"/>
      <c r="B12" s="15"/>
      <c r="C12" s="15"/>
      <c r="D12" s="15"/>
      <c r="E12" s="15"/>
      <c r="F12" s="15"/>
      <c r="G12" s="15"/>
      <c r="H12" s="15"/>
      <c r="I12" s="15"/>
      <c r="J12" s="15"/>
      <c r="K12" s="15"/>
      <c r="L12" s="15"/>
      <c r="M12" s="15"/>
      <c r="N12" s="15"/>
      <c r="O12" s="15"/>
      <c r="P12" s="15"/>
      <c r="Q12" s="15"/>
      <c r="R12" s="15"/>
      <c r="S12" s="15"/>
      <c r="T12" s="15"/>
      <c r="U12" s="15"/>
      <c r="V12" s="15"/>
      <c r="W12" s="15"/>
    </row>
    <row r="13" spans="1:23" x14ac:dyDescent="0.2">
      <c r="A13" s="15"/>
      <c r="B13" s="15"/>
      <c r="C13" s="15"/>
      <c r="D13" s="15"/>
      <c r="E13" s="15"/>
      <c r="F13" s="15"/>
      <c r="G13" s="15"/>
      <c r="H13" s="15"/>
      <c r="I13" s="15"/>
      <c r="J13" s="15"/>
      <c r="K13" s="15"/>
      <c r="L13" s="15"/>
      <c r="M13" s="15"/>
      <c r="N13" s="15"/>
      <c r="O13" s="15"/>
      <c r="P13" s="15"/>
      <c r="Q13" s="15"/>
      <c r="R13" s="15"/>
      <c r="S13" s="15"/>
      <c r="T13" s="15"/>
      <c r="U13" s="15"/>
      <c r="V13" s="15"/>
      <c r="W13" s="15"/>
    </row>
    <row r="14" spans="1:23" x14ac:dyDescent="0.2">
      <c r="A14" s="15"/>
      <c r="B14" s="15"/>
      <c r="C14" s="15"/>
      <c r="D14" s="15"/>
      <c r="E14" s="15"/>
      <c r="F14" s="15"/>
      <c r="G14" s="15"/>
      <c r="H14" s="15"/>
      <c r="I14" s="15"/>
      <c r="J14" s="15"/>
      <c r="K14" s="15"/>
      <c r="L14" s="15"/>
      <c r="M14" s="15"/>
      <c r="N14" s="15"/>
      <c r="O14" s="15"/>
      <c r="P14" s="15"/>
      <c r="Q14" s="15"/>
      <c r="R14" s="15"/>
      <c r="S14" s="15"/>
      <c r="T14" s="15"/>
      <c r="U14" s="15"/>
      <c r="V14" s="15"/>
      <c r="W14" s="15"/>
    </row>
    <row r="15" spans="1:23" x14ac:dyDescent="0.2">
      <c r="A15" s="15"/>
      <c r="B15" s="15"/>
      <c r="C15" s="15"/>
      <c r="D15" s="15"/>
      <c r="E15" s="15"/>
      <c r="F15" s="15"/>
      <c r="G15" s="15"/>
      <c r="H15" s="15"/>
      <c r="I15" s="15"/>
      <c r="J15" s="15"/>
      <c r="K15" s="15"/>
      <c r="L15" s="15"/>
      <c r="M15" s="15"/>
      <c r="N15" s="15"/>
      <c r="O15" s="15"/>
      <c r="P15" s="15"/>
      <c r="Q15" s="15"/>
      <c r="R15" s="15"/>
      <c r="S15" s="15"/>
      <c r="T15" s="15"/>
      <c r="U15" s="15"/>
      <c r="V15" s="15"/>
      <c r="W15" s="15"/>
    </row>
    <row r="16" spans="1:23" x14ac:dyDescent="0.2">
      <c r="A16" s="15"/>
      <c r="B16" s="15"/>
      <c r="C16" s="15"/>
      <c r="D16" s="15"/>
      <c r="E16" s="15"/>
      <c r="F16" s="15"/>
      <c r="G16" s="15"/>
      <c r="H16" s="15"/>
      <c r="I16" s="15"/>
      <c r="J16" s="15"/>
      <c r="K16" s="15"/>
      <c r="L16" s="15"/>
      <c r="M16" s="15"/>
      <c r="N16" s="15"/>
      <c r="O16" s="15"/>
      <c r="P16" s="15"/>
      <c r="Q16" s="15"/>
      <c r="R16" s="15"/>
      <c r="S16" s="15"/>
      <c r="T16" s="15"/>
      <c r="U16" s="15"/>
      <c r="V16" s="15"/>
      <c r="W16" s="15"/>
    </row>
    <row r="17" spans="1:23" x14ac:dyDescent="0.2">
      <c r="A17" s="15"/>
      <c r="B17" s="15"/>
      <c r="C17" s="15"/>
      <c r="D17" s="15"/>
      <c r="E17" s="15"/>
      <c r="F17" s="15"/>
      <c r="G17" s="15"/>
      <c r="H17" s="15"/>
      <c r="I17" s="15"/>
      <c r="J17" s="15"/>
      <c r="K17" s="15"/>
      <c r="L17" s="15"/>
      <c r="M17" s="15"/>
      <c r="N17" s="15"/>
      <c r="O17" s="15"/>
      <c r="P17" s="15"/>
      <c r="Q17" s="15"/>
      <c r="R17" s="15"/>
      <c r="S17" s="15"/>
      <c r="T17" s="15"/>
      <c r="U17" s="15"/>
      <c r="V17" s="15"/>
      <c r="W17" s="15"/>
    </row>
    <row r="18" spans="1:23" x14ac:dyDescent="0.2">
      <c r="A18" s="15"/>
      <c r="B18" s="15"/>
      <c r="C18" s="15"/>
      <c r="D18" s="15"/>
      <c r="E18" s="15"/>
      <c r="F18" s="15"/>
      <c r="G18" s="15"/>
      <c r="H18" s="15"/>
      <c r="I18" s="15"/>
      <c r="J18" s="15"/>
      <c r="K18" s="15"/>
      <c r="L18" s="15"/>
      <c r="M18" s="15"/>
      <c r="N18" s="15"/>
      <c r="O18" s="15"/>
      <c r="P18" s="15"/>
      <c r="Q18" s="15"/>
      <c r="R18" s="15"/>
      <c r="S18" s="15"/>
      <c r="T18" s="15"/>
      <c r="U18" s="15"/>
      <c r="V18" s="15"/>
      <c r="W18" s="15"/>
    </row>
    <row r="19" spans="1:23" x14ac:dyDescent="0.2">
      <c r="A19" s="15"/>
      <c r="B19" s="15"/>
      <c r="C19" s="15"/>
      <c r="D19" s="15"/>
      <c r="E19" s="15"/>
      <c r="F19" s="15"/>
      <c r="G19" s="15"/>
      <c r="H19" s="15"/>
      <c r="I19" s="15"/>
      <c r="J19" s="15"/>
      <c r="K19" s="15"/>
      <c r="L19" s="15"/>
      <c r="M19" s="15"/>
      <c r="N19" s="15"/>
      <c r="O19" s="15"/>
      <c r="P19" s="15"/>
      <c r="Q19" s="15"/>
      <c r="R19" s="15"/>
      <c r="S19" s="15"/>
      <c r="T19" s="15"/>
      <c r="U19" s="15"/>
      <c r="V19" s="15"/>
      <c r="W19" s="15"/>
    </row>
    <row r="20" spans="1:23" x14ac:dyDescent="0.2">
      <c r="A20" s="15"/>
      <c r="B20" s="15"/>
      <c r="C20" s="15"/>
      <c r="D20" s="15"/>
      <c r="E20" s="15"/>
      <c r="F20" s="15"/>
      <c r="G20" s="15"/>
      <c r="H20" s="15"/>
      <c r="I20" s="15"/>
      <c r="J20" s="15"/>
      <c r="K20" s="15"/>
      <c r="L20" s="15"/>
      <c r="M20" s="15"/>
      <c r="N20" s="15"/>
      <c r="O20" s="15"/>
      <c r="P20" s="15"/>
      <c r="Q20" s="15"/>
      <c r="R20" s="15"/>
      <c r="S20" s="15"/>
      <c r="T20" s="15"/>
      <c r="U20" s="15"/>
      <c r="V20" s="15"/>
      <c r="W20" s="15"/>
    </row>
    <row r="21" spans="1:23" x14ac:dyDescent="0.2">
      <c r="A21" s="15"/>
      <c r="B21" s="15"/>
      <c r="C21" s="15"/>
      <c r="D21" s="15"/>
      <c r="E21" s="15"/>
      <c r="F21" s="15"/>
      <c r="G21" s="15"/>
      <c r="H21" s="15"/>
      <c r="I21" s="15"/>
      <c r="J21" s="15"/>
      <c r="K21" s="15"/>
      <c r="L21" s="15"/>
      <c r="M21" s="15"/>
      <c r="N21" s="15"/>
      <c r="O21" s="15"/>
      <c r="P21" s="15"/>
      <c r="Q21" s="15"/>
      <c r="R21" s="15"/>
      <c r="S21" s="15"/>
      <c r="T21" s="15"/>
      <c r="U21" s="15"/>
      <c r="V21" s="15"/>
      <c r="W21" s="15"/>
    </row>
    <row r="22" spans="1:23" x14ac:dyDescent="0.2">
      <c r="A22" s="15"/>
      <c r="B22" s="15"/>
      <c r="C22" s="15"/>
      <c r="D22" s="15"/>
      <c r="E22" s="15"/>
      <c r="F22" s="15"/>
      <c r="G22" s="15"/>
      <c r="H22" s="15"/>
      <c r="I22" s="15"/>
      <c r="J22" s="15"/>
      <c r="K22" s="15"/>
      <c r="L22" s="15"/>
      <c r="M22" s="15"/>
      <c r="N22" s="15"/>
      <c r="O22" s="15"/>
      <c r="P22" s="15"/>
      <c r="Q22" s="15"/>
      <c r="R22" s="15"/>
      <c r="S22" s="15"/>
      <c r="T22" s="15"/>
      <c r="U22" s="15"/>
      <c r="V22" s="15"/>
      <c r="W22" s="15"/>
    </row>
    <row r="23" spans="1:23" x14ac:dyDescent="0.2">
      <c r="A23" s="15"/>
      <c r="B23" s="15"/>
      <c r="C23" s="15"/>
      <c r="D23" s="15"/>
      <c r="E23" s="15"/>
      <c r="F23" s="15"/>
      <c r="G23" s="15"/>
      <c r="H23" s="15"/>
      <c r="I23" s="15"/>
      <c r="J23" s="15"/>
      <c r="K23" s="15"/>
      <c r="L23" s="15"/>
      <c r="M23" s="15"/>
      <c r="N23" s="15"/>
      <c r="O23" s="15"/>
      <c r="P23" s="15"/>
      <c r="Q23" s="15"/>
      <c r="R23" s="15"/>
      <c r="S23" s="15"/>
      <c r="T23" s="15"/>
      <c r="U23" s="15"/>
      <c r="V23" s="15"/>
      <c r="W23" s="15"/>
    </row>
    <row r="24" spans="1:23" x14ac:dyDescent="0.2">
      <c r="A24" s="15"/>
      <c r="B24" s="15"/>
      <c r="C24" s="15"/>
      <c r="D24" s="15"/>
      <c r="E24" s="15"/>
      <c r="F24" s="15"/>
      <c r="G24" s="15"/>
      <c r="H24" s="15"/>
      <c r="I24" s="15"/>
      <c r="J24" s="15"/>
      <c r="K24" s="15"/>
      <c r="L24" s="15"/>
      <c r="M24" s="15"/>
      <c r="N24" s="15"/>
      <c r="O24" s="15"/>
      <c r="P24" s="15"/>
      <c r="Q24" s="15"/>
      <c r="R24" s="15"/>
      <c r="S24" s="15"/>
      <c r="T24" s="15"/>
      <c r="U24" s="15"/>
      <c r="V24" s="15"/>
      <c r="W24" s="15"/>
    </row>
    <row r="25" spans="1:23" x14ac:dyDescent="0.2">
      <c r="A25" s="15"/>
      <c r="B25" s="15"/>
      <c r="C25" s="15"/>
      <c r="D25" s="15"/>
      <c r="E25" s="15"/>
      <c r="F25" s="15"/>
      <c r="G25" s="15"/>
      <c r="H25" s="15"/>
      <c r="I25" s="15"/>
      <c r="J25" s="15"/>
      <c r="K25" s="15"/>
      <c r="L25" s="15"/>
      <c r="M25" s="15"/>
      <c r="N25" s="15"/>
      <c r="O25" s="15"/>
      <c r="P25" s="15"/>
      <c r="Q25" s="15"/>
      <c r="R25" s="15"/>
      <c r="S25" s="15"/>
      <c r="T25" s="15"/>
      <c r="U25" s="15"/>
      <c r="V25" s="15"/>
      <c r="W25" s="15"/>
    </row>
    <row r="26" spans="1:23" x14ac:dyDescent="0.2">
      <c r="A26" s="15"/>
      <c r="B26" s="15"/>
      <c r="C26" s="15"/>
      <c r="D26" s="15"/>
      <c r="E26" s="15"/>
      <c r="F26" s="15"/>
      <c r="G26" s="15"/>
      <c r="H26" s="15"/>
      <c r="I26" s="15"/>
      <c r="J26" s="15"/>
      <c r="K26" s="15"/>
      <c r="L26" s="15"/>
      <c r="M26" s="15"/>
      <c r="N26" s="15"/>
      <c r="O26" s="15"/>
      <c r="P26" s="15"/>
      <c r="Q26" s="15"/>
      <c r="R26" s="15"/>
      <c r="S26" s="15"/>
      <c r="T26" s="15"/>
      <c r="U26" s="15"/>
      <c r="V26" s="15"/>
      <c r="W26" s="15"/>
    </row>
    <row r="27" spans="1:23" x14ac:dyDescent="0.2">
      <c r="A27" s="15"/>
      <c r="B27" s="15"/>
      <c r="C27" s="15"/>
      <c r="D27" s="15"/>
      <c r="E27" s="15"/>
      <c r="F27" s="15"/>
      <c r="G27" s="15"/>
      <c r="H27" s="15"/>
      <c r="I27" s="15"/>
      <c r="J27" s="15"/>
      <c r="K27" s="15"/>
      <c r="L27" s="15"/>
      <c r="M27" s="15"/>
      <c r="N27" s="15"/>
      <c r="O27" s="15"/>
      <c r="P27" s="15"/>
      <c r="Q27" s="15"/>
      <c r="R27" s="15"/>
      <c r="S27" s="15"/>
      <c r="T27" s="15"/>
      <c r="U27" s="15"/>
      <c r="V27" s="15"/>
      <c r="W27" s="15"/>
    </row>
    <row r="28" spans="1:23" x14ac:dyDescent="0.2">
      <c r="A28" s="15"/>
      <c r="B28" s="15"/>
      <c r="C28" s="15"/>
      <c r="D28" s="15"/>
      <c r="E28" s="15"/>
      <c r="F28" s="15"/>
      <c r="G28" s="15"/>
      <c r="H28" s="15"/>
      <c r="I28" s="15"/>
      <c r="J28" s="15"/>
      <c r="K28" s="15"/>
      <c r="L28" s="15"/>
      <c r="M28" s="15"/>
      <c r="N28" s="15"/>
      <c r="O28" s="15"/>
      <c r="P28" s="15"/>
      <c r="Q28" s="15"/>
      <c r="R28" s="15"/>
      <c r="S28" s="15"/>
      <c r="T28" s="15"/>
      <c r="U28" s="15"/>
      <c r="V28" s="15"/>
      <c r="W28" s="15"/>
    </row>
    <row r="29" spans="1:23" x14ac:dyDescent="0.2">
      <c r="A29" s="15"/>
      <c r="B29" s="15"/>
      <c r="C29" s="15"/>
      <c r="D29" s="15"/>
      <c r="E29" s="15"/>
      <c r="F29" s="15"/>
      <c r="G29" s="15"/>
      <c r="H29" s="15"/>
      <c r="I29" s="15"/>
      <c r="J29" s="15"/>
      <c r="K29" s="15"/>
      <c r="L29" s="15"/>
      <c r="M29" s="15"/>
      <c r="N29" s="15"/>
      <c r="O29" s="15"/>
      <c r="P29" s="15"/>
      <c r="Q29" s="15"/>
      <c r="R29" s="15"/>
      <c r="S29" s="15"/>
      <c r="T29" s="15"/>
      <c r="U29" s="15"/>
      <c r="V29" s="15"/>
      <c r="W29" s="15"/>
    </row>
    <row r="30" spans="1:23" x14ac:dyDescent="0.2">
      <c r="A30" s="15"/>
      <c r="B30" s="15"/>
      <c r="C30" s="15"/>
      <c r="D30" s="15"/>
      <c r="E30" s="15"/>
      <c r="F30" s="15"/>
      <c r="G30" s="15"/>
      <c r="H30" s="15"/>
      <c r="I30" s="15"/>
      <c r="J30" s="15"/>
      <c r="K30" s="15"/>
      <c r="L30" s="15"/>
      <c r="M30" s="15"/>
      <c r="N30" s="15"/>
      <c r="O30" s="15"/>
      <c r="P30" s="15"/>
      <c r="Q30" s="15"/>
      <c r="R30" s="15"/>
      <c r="S30" s="15"/>
      <c r="T30" s="15"/>
      <c r="U30" s="15"/>
      <c r="V30" s="15"/>
      <c r="W30" s="15"/>
    </row>
    <row r="31" spans="1:23" x14ac:dyDescent="0.2">
      <c r="A31" s="15"/>
      <c r="B31" s="15"/>
      <c r="C31" s="15"/>
      <c r="D31" s="15"/>
      <c r="E31" s="15"/>
      <c r="F31" s="15"/>
      <c r="G31" s="15"/>
      <c r="H31" s="15"/>
      <c r="I31" s="15"/>
      <c r="J31" s="15"/>
      <c r="K31" s="15"/>
      <c r="L31" s="15"/>
      <c r="M31" s="15"/>
      <c r="N31" s="15"/>
      <c r="O31" s="15"/>
      <c r="P31" s="15"/>
      <c r="Q31" s="15"/>
      <c r="R31" s="15"/>
      <c r="S31" s="15"/>
      <c r="T31" s="15"/>
      <c r="U31" s="15"/>
      <c r="V31" s="15"/>
      <c r="W31" s="15"/>
    </row>
    <row r="32" spans="1:23" x14ac:dyDescent="0.2">
      <c r="A32" s="15"/>
      <c r="B32" s="15"/>
      <c r="C32" s="15"/>
      <c r="D32" s="15"/>
      <c r="E32" s="15"/>
      <c r="F32" s="15"/>
      <c r="G32" s="15"/>
      <c r="H32" s="15"/>
      <c r="I32" s="15"/>
      <c r="J32" s="15"/>
      <c r="K32" s="15"/>
      <c r="L32" s="15"/>
      <c r="M32" s="15"/>
      <c r="N32" s="15"/>
      <c r="O32" s="15"/>
      <c r="P32" s="15"/>
      <c r="Q32" s="15"/>
      <c r="R32" s="15"/>
      <c r="S32" s="15"/>
      <c r="T32" s="15"/>
      <c r="U32" s="15"/>
      <c r="V32" s="15"/>
      <c r="W32" s="15"/>
    </row>
    <row r="33" spans="1:23" x14ac:dyDescent="0.2">
      <c r="A33" s="15"/>
      <c r="B33" s="15"/>
      <c r="C33" s="15"/>
      <c r="D33" s="15"/>
      <c r="E33" s="15"/>
      <c r="F33" s="15"/>
      <c r="G33" s="15"/>
      <c r="H33" s="15"/>
      <c r="I33" s="15"/>
      <c r="J33" s="15"/>
      <c r="K33" s="15"/>
      <c r="L33" s="15"/>
      <c r="M33" s="15"/>
      <c r="N33" s="15"/>
      <c r="O33" s="15"/>
      <c r="P33" s="15"/>
      <c r="Q33" s="15"/>
      <c r="R33" s="15"/>
      <c r="S33" s="15"/>
      <c r="T33" s="15"/>
      <c r="U33" s="15"/>
      <c r="V33" s="15"/>
      <c r="W33" s="15"/>
    </row>
    <row r="34" spans="1:23" x14ac:dyDescent="0.2">
      <c r="A34" s="15"/>
      <c r="B34" s="15"/>
      <c r="C34" s="15"/>
      <c r="D34" s="15"/>
      <c r="E34" s="15"/>
      <c r="F34" s="15"/>
      <c r="G34" s="15"/>
      <c r="H34" s="15"/>
      <c r="I34" s="15"/>
      <c r="J34" s="15"/>
      <c r="K34" s="15"/>
      <c r="L34" s="15"/>
      <c r="M34" s="15"/>
      <c r="N34" s="15"/>
      <c r="O34" s="15"/>
      <c r="P34" s="15"/>
      <c r="Q34" s="15"/>
      <c r="R34" s="15"/>
      <c r="S34" s="15"/>
      <c r="T34" s="15"/>
      <c r="U34" s="15"/>
      <c r="V34" s="15"/>
      <c r="W34" s="15"/>
    </row>
    <row r="35" spans="1:23" x14ac:dyDescent="0.2">
      <c r="A35" s="15"/>
      <c r="B35" s="15"/>
      <c r="C35" s="15"/>
      <c r="D35" s="15"/>
      <c r="E35" s="15"/>
      <c r="F35" s="15"/>
      <c r="G35" s="15"/>
      <c r="H35" s="15"/>
      <c r="I35" s="15"/>
      <c r="J35" s="15"/>
      <c r="K35" s="15"/>
      <c r="L35" s="15"/>
      <c r="M35" s="15"/>
      <c r="N35" s="15"/>
      <c r="O35" s="15"/>
      <c r="P35" s="15"/>
      <c r="Q35" s="15"/>
      <c r="R35" s="15"/>
      <c r="S35" s="15"/>
      <c r="T35" s="15"/>
      <c r="U35" s="15"/>
      <c r="V35" s="15"/>
      <c r="W35" s="15"/>
    </row>
    <row r="36" spans="1:23" x14ac:dyDescent="0.2">
      <c r="A36" s="15"/>
      <c r="B36" s="15"/>
      <c r="C36" s="15"/>
      <c r="D36" s="15"/>
      <c r="E36" s="15"/>
      <c r="F36" s="15"/>
      <c r="G36" s="15"/>
      <c r="H36" s="15"/>
      <c r="I36" s="15"/>
      <c r="J36" s="15"/>
      <c r="K36" s="15"/>
      <c r="L36" s="15"/>
      <c r="M36" s="15"/>
      <c r="N36" s="15"/>
      <c r="O36" s="15"/>
      <c r="P36" s="15"/>
      <c r="Q36" s="15"/>
      <c r="R36" s="15"/>
      <c r="S36" s="15"/>
      <c r="T36" s="15"/>
      <c r="U36" s="15"/>
      <c r="V36" s="15"/>
      <c r="W36" s="15"/>
    </row>
    <row r="37" spans="1:23" x14ac:dyDescent="0.2">
      <c r="A37" s="15"/>
      <c r="B37" s="15"/>
      <c r="C37" s="15"/>
      <c r="D37" s="15"/>
      <c r="E37" s="15"/>
      <c r="F37" s="15"/>
      <c r="G37" s="15"/>
      <c r="H37" s="15"/>
      <c r="I37" s="15"/>
      <c r="J37" s="15"/>
      <c r="K37" s="15"/>
      <c r="L37" s="15"/>
      <c r="M37" s="15"/>
      <c r="N37" s="15"/>
      <c r="O37" s="15"/>
      <c r="P37" s="15"/>
      <c r="Q37" s="15"/>
      <c r="R37" s="15"/>
      <c r="S37" s="15"/>
      <c r="T37" s="15"/>
      <c r="U37" s="15"/>
      <c r="V37" s="15"/>
      <c r="W37" s="15"/>
    </row>
    <row r="38" spans="1:23" x14ac:dyDescent="0.2">
      <c r="A38" s="15"/>
      <c r="B38" s="15"/>
      <c r="C38" s="15"/>
      <c r="D38" s="15"/>
      <c r="E38" s="15"/>
      <c r="F38" s="15"/>
      <c r="G38" s="15"/>
      <c r="H38" s="15"/>
      <c r="I38" s="15"/>
      <c r="J38" s="15"/>
      <c r="K38" s="15"/>
      <c r="L38" s="15"/>
      <c r="M38" s="15"/>
      <c r="N38" s="15"/>
      <c r="O38" s="15"/>
      <c r="P38" s="15"/>
      <c r="Q38" s="15"/>
      <c r="R38" s="15"/>
      <c r="S38" s="15"/>
      <c r="T38" s="15"/>
      <c r="U38" s="15"/>
      <c r="V38" s="15"/>
      <c r="W38" s="15"/>
    </row>
    <row r="39" spans="1:23" x14ac:dyDescent="0.2">
      <c r="A39" s="15"/>
      <c r="B39" s="15"/>
      <c r="C39" s="15"/>
      <c r="D39" s="15"/>
      <c r="E39" s="15"/>
      <c r="F39" s="15"/>
      <c r="G39" s="15"/>
      <c r="H39" s="15"/>
      <c r="I39" s="15"/>
      <c r="J39" s="15"/>
      <c r="K39" s="15"/>
      <c r="L39" s="15"/>
      <c r="M39" s="15"/>
      <c r="N39" s="15"/>
      <c r="O39" s="15"/>
      <c r="P39" s="15"/>
      <c r="Q39" s="15"/>
      <c r="R39" s="15"/>
      <c r="S39" s="15"/>
      <c r="T39" s="15"/>
      <c r="U39" s="15"/>
      <c r="V39" s="15"/>
      <c r="W39" s="15"/>
    </row>
    <row r="40" spans="1:23" x14ac:dyDescent="0.2">
      <c r="A40" s="15"/>
      <c r="B40" s="15"/>
      <c r="C40" s="15"/>
      <c r="D40" s="15"/>
      <c r="E40" s="15"/>
      <c r="F40" s="15"/>
      <c r="G40" s="15"/>
      <c r="H40" s="15"/>
      <c r="I40" s="15"/>
      <c r="J40" s="15"/>
      <c r="K40" s="15"/>
      <c r="L40" s="15"/>
      <c r="M40" s="15"/>
      <c r="N40" s="15"/>
      <c r="O40" s="15"/>
      <c r="P40" s="15"/>
      <c r="Q40" s="15"/>
      <c r="R40" s="15"/>
      <c r="S40" s="15"/>
      <c r="T40" s="15"/>
      <c r="U40" s="15"/>
      <c r="V40" s="15"/>
      <c r="W40" s="15"/>
    </row>
  </sheetData>
  <mergeCells count="3">
    <mergeCell ref="A3:W3"/>
    <mergeCell ref="A2:W2"/>
    <mergeCell ref="A1:W1"/>
  </mergeCell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300-000000000000}">
          <x14:formula1>
            <xm:f>'08_DANH_MUC'!$D$6:$D$10</xm:f>
          </x14:formula1>
          <xm:sqref>B6:B40</xm:sqref>
        </x14:dataValidation>
        <x14:dataValidation type="list" allowBlank="1" xr:uid="{00000000-0002-0000-0300-000001000000}">
          <x14:formula1>
            <xm:f>'08_DANH_MUC'!$A$6:$A$7</xm:f>
          </x14:formula1>
          <xm:sqref>E6:E40</xm:sqref>
        </x14:dataValidation>
        <x14:dataValidation type="list" allowBlank="1" xr:uid="{00000000-0002-0000-0300-000002000000}">
          <x14:formula1>
            <xm:f>'08_DANH_MUC'!$E$6:$E$8</xm:f>
          </x14:formula1>
          <xm:sqref>T6:T40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2"/>
  <sheetViews>
    <sheetView workbookViewId="0">
      <pane xSplit="4" ySplit="5" topLeftCell="E6" activePane="bottomRight" state="frozen"/>
      <selection pane="topRight"/>
      <selection pane="bottomLeft"/>
      <selection pane="bottomRight" sqref="A1:I1"/>
    </sheetView>
  </sheetViews>
  <sheetFormatPr baseColWidth="10" defaultColWidth="8.83203125" defaultRowHeight="15" x14ac:dyDescent="0.2"/>
  <cols>
    <col min="1" max="1" width="6" customWidth="1"/>
    <col min="2" max="2" width="16" customWidth="1"/>
    <col min="3" max="3" width="22" customWidth="1"/>
    <col min="4" max="4" width="44" customWidth="1"/>
    <col min="5" max="5" width="16" customWidth="1"/>
    <col min="6" max="6" width="30" customWidth="1"/>
    <col min="7" max="7" width="15" customWidth="1"/>
    <col min="8" max="8" width="13" customWidth="1"/>
    <col min="9" max="9" width="26" customWidth="1"/>
  </cols>
  <sheetData>
    <row r="1" spans="1:9" ht="26" customHeight="1" x14ac:dyDescent="0.2">
      <c r="A1" s="26" t="s">
        <v>286</v>
      </c>
      <c r="B1" s="22"/>
      <c r="C1" s="22"/>
      <c r="D1" s="22"/>
      <c r="E1" s="22"/>
      <c r="F1" s="22"/>
      <c r="G1" s="22"/>
      <c r="H1" s="22"/>
      <c r="I1" s="22"/>
    </row>
    <row r="2" spans="1:9" x14ac:dyDescent="0.2">
      <c r="A2" s="21" t="s">
        <v>287</v>
      </c>
      <c r="B2" s="22"/>
      <c r="C2" s="22"/>
      <c r="D2" s="22"/>
      <c r="E2" s="22"/>
      <c r="F2" s="22"/>
      <c r="G2" s="22"/>
      <c r="H2" s="22"/>
      <c r="I2" s="22"/>
    </row>
    <row r="3" spans="1:9" x14ac:dyDescent="0.2">
      <c r="A3" s="21" t="s">
        <v>288</v>
      </c>
      <c r="B3" s="22"/>
      <c r="C3" s="22"/>
      <c r="D3" s="22"/>
      <c r="E3" s="22"/>
      <c r="F3" s="22"/>
      <c r="G3" s="22"/>
      <c r="H3" s="22"/>
      <c r="I3" s="22"/>
    </row>
    <row r="5" spans="1:9" ht="42" customHeight="1" x14ac:dyDescent="0.2">
      <c r="A5" s="3" t="s">
        <v>289</v>
      </c>
      <c r="B5" s="3" t="s">
        <v>290</v>
      </c>
      <c r="C5" s="3" t="s">
        <v>291</v>
      </c>
      <c r="D5" s="3" t="s">
        <v>292</v>
      </c>
      <c r="E5" s="3" t="s">
        <v>293</v>
      </c>
      <c r="F5" s="3" t="s">
        <v>294</v>
      </c>
      <c r="G5" s="3" t="s">
        <v>295</v>
      </c>
      <c r="H5" s="3" t="s">
        <v>296</v>
      </c>
      <c r="I5" s="3" t="s">
        <v>260</v>
      </c>
    </row>
    <row r="6" spans="1:9" x14ac:dyDescent="0.2">
      <c r="A6" s="16">
        <v>1</v>
      </c>
      <c r="B6" s="17" t="s">
        <v>297</v>
      </c>
      <c r="C6" s="18" t="s">
        <v>298</v>
      </c>
      <c r="D6" s="19" t="s">
        <v>299</v>
      </c>
      <c r="E6" s="15"/>
      <c r="F6" s="15"/>
      <c r="G6" s="15"/>
      <c r="H6" s="15"/>
      <c r="I6" s="15"/>
    </row>
    <row r="7" spans="1:9" x14ac:dyDescent="0.2">
      <c r="A7" s="16">
        <v>2</v>
      </c>
      <c r="B7" s="17" t="s">
        <v>300</v>
      </c>
      <c r="C7" s="18" t="s">
        <v>301</v>
      </c>
      <c r="D7" s="19" t="s">
        <v>299</v>
      </c>
      <c r="E7" s="15"/>
      <c r="F7" s="15"/>
      <c r="G7" s="15"/>
      <c r="H7" s="15"/>
      <c r="I7" s="15"/>
    </row>
    <row r="8" spans="1:9" x14ac:dyDescent="0.2">
      <c r="A8" s="16">
        <v>3</v>
      </c>
      <c r="B8" s="17" t="s">
        <v>302</v>
      </c>
      <c r="C8" s="18" t="s">
        <v>303</v>
      </c>
      <c r="D8" s="19" t="s">
        <v>304</v>
      </c>
      <c r="E8" s="15"/>
      <c r="F8" s="15"/>
      <c r="G8" s="15"/>
      <c r="H8" s="15"/>
      <c r="I8" s="15"/>
    </row>
    <row r="9" spans="1:9" x14ac:dyDescent="0.2">
      <c r="A9" s="16">
        <v>4</v>
      </c>
      <c r="B9" s="17" t="s">
        <v>305</v>
      </c>
      <c r="C9" s="18" t="s">
        <v>306</v>
      </c>
      <c r="D9" s="19" t="s">
        <v>299</v>
      </c>
      <c r="E9" s="15"/>
      <c r="F9" s="15"/>
      <c r="G9" s="15"/>
      <c r="H9" s="15"/>
      <c r="I9" s="15"/>
    </row>
    <row r="10" spans="1:9" x14ac:dyDescent="0.2">
      <c r="A10" s="16">
        <v>5</v>
      </c>
      <c r="B10" s="17" t="s">
        <v>307</v>
      </c>
      <c r="C10" s="18" t="s">
        <v>308</v>
      </c>
      <c r="D10" s="19" t="s">
        <v>299</v>
      </c>
      <c r="E10" s="15"/>
      <c r="F10" s="15"/>
      <c r="G10" s="15"/>
      <c r="H10" s="15"/>
      <c r="I10" s="15"/>
    </row>
    <row r="11" spans="1:9" x14ac:dyDescent="0.2">
      <c r="A11" s="16">
        <v>6</v>
      </c>
      <c r="B11" s="17" t="s">
        <v>309</v>
      </c>
      <c r="C11" s="18" t="s">
        <v>310</v>
      </c>
      <c r="D11" s="19" t="s">
        <v>299</v>
      </c>
      <c r="E11" s="15"/>
      <c r="F11" s="15"/>
      <c r="G11" s="15"/>
      <c r="H11" s="15"/>
      <c r="I11" s="15"/>
    </row>
    <row r="12" spans="1:9" x14ac:dyDescent="0.2">
      <c r="A12" s="16">
        <v>7</v>
      </c>
      <c r="B12" s="17" t="s">
        <v>311</v>
      </c>
      <c r="C12" s="18" t="s">
        <v>312</v>
      </c>
      <c r="D12" s="19" t="s">
        <v>313</v>
      </c>
      <c r="E12" s="15"/>
      <c r="F12" s="15"/>
      <c r="G12" s="15"/>
      <c r="H12" s="15"/>
      <c r="I12" s="15"/>
    </row>
    <row r="13" spans="1:9" x14ac:dyDescent="0.2">
      <c r="A13" s="16">
        <v>8</v>
      </c>
      <c r="B13" s="17" t="s">
        <v>314</v>
      </c>
      <c r="C13" s="18" t="s">
        <v>315</v>
      </c>
      <c r="D13" s="19" t="s">
        <v>316</v>
      </c>
      <c r="E13" s="15"/>
      <c r="F13" s="15"/>
      <c r="G13" s="15"/>
      <c r="H13" s="15"/>
      <c r="I13" s="15"/>
    </row>
    <row r="14" spans="1:9" x14ac:dyDescent="0.2">
      <c r="A14" s="16">
        <v>9</v>
      </c>
      <c r="B14" s="17" t="s">
        <v>317</v>
      </c>
      <c r="C14" s="18" t="s">
        <v>318</v>
      </c>
      <c r="D14" s="19" t="s">
        <v>299</v>
      </c>
      <c r="E14" s="15"/>
      <c r="F14" s="15"/>
      <c r="G14" s="15"/>
      <c r="H14" s="15"/>
      <c r="I14" s="15"/>
    </row>
    <row r="15" spans="1:9" x14ac:dyDescent="0.2">
      <c r="A15" s="16">
        <v>10</v>
      </c>
      <c r="B15" s="17" t="s">
        <v>319</v>
      </c>
      <c r="C15" s="18" t="s">
        <v>320</v>
      </c>
      <c r="D15" s="19" t="s">
        <v>299</v>
      </c>
      <c r="E15" s="15"/>
      <c r="F15" s="15"/>
      <c r="G15" s="15"/>
      <c r="H15" s="15"/>
      <c r="I15" s="15"/>
    </row>
    <row r="16" spans="1:9" x14ac:dyDescent="0.2">
      <c r="A16" s="16">
        <v>11</v>
      </c>
      <c r="B16" s="17" t="s">
        <v>321</v>
      </c>
      <c r="C16" s="18" t="s">
        <v>322</v>
      </c>
      <c r="D16" s="19" t="s">
        <v>323</v>
      </c>
      <c r="E16" s="15"/>
      <c r="F16" s="15"/>
      <c r="G16" s="15"/>
      <c r="H16" s="15"/>
      <c r="I16" s="15"/>
    </row>
    <row r="17" spans="1:9" x14ac:dyDescent="0.2">
      <c r="A17" s="16">
        <v>12</v>
      </c>
      <c r="B17" s="17" t="s">
        <v>324</v>
      </c>
      <c r="C17" s="18" t="s">
        <v>325</v>
      </c>
      <c r="D17" s="19" t="s">
        <v>326</v>
      </c>
      <c r="E17" s="15"/>
      <c r="F17" s="15"/>
      <c r="G17" s="15"/>
      <c r="H17" s="15"/>
      <c r="I17" s="15"/>
    </row>
    <row r="18" spans="1:9" x14ac:dyDescent="0.2">
      <c r="A18" s="16">
        <v>13</v>
      </c>
      <c r="B18" s="17" t="s">
        <v>327</v>
      </c>
      <c r="C18" s="18" t="s">
        <v>328</v>
      </c>
      <c r="D18" s="19" t="s">
        <v>329</v>
      </c>
      <c r="E18" s="15"/>
      <c r="F18" s="15"/>
      <c r="G18" s="15"/>
      <c r="H18" s="15"/>
      <c r="I18" s="15"/>
    </row>
    <row r="19" spans="1:9" x14ac:dyDescent="0.2">
      <c r="A19" s="16">
        <v>14</v>
      </c>
      <c r="B19" s="17" t="s">
        <v>330</v>
      </c>
      <c r="C19" s="18" t="s">
        <v>331</v>
      </c>
      <c r="D19" s="19" t="s">
        <v>332</v>
      </c>
      <c r="E19" s="15"/>
      <c r="F19" s="15"/>
      <c r="G19" s="15"/>
      <c r="H19" s="15"/>
      <c r="I19" s="15"/>
    </row>
    <row r="20" spans="1:9" x14ac:dyDescent="0.2">
      <c r="A20" s="16">
        <v>15</v>
      </c>
      <c r="B20" s="17" t="s">
        <v>333</v>
      </c>
      <c r="C20" s="18" t="s">
        <v>334</v>
      </c>
      <c r="D20" s="19" t="s">
        <v>335</v>
      </c>
      <c r="E20" s="15"/>
      <c r="F20" s="15"/>
      <c r="G20" s="15"/>
      <c r="H20" s="15"/>
      <c r="I20" s="15"/>
    </row>
    <row r="21" spans="1:9" x14ac:dyDescent="0.2">
      <c r="A21" s="16">
        <v>16</v>
      </c>
      <c r="B21" s="17" t="s">
        <v>336</v>
      </c>
      <c r="C21" s="18" t="s">
        <v>337</v>
      </c>
      <c r="D21" s="19" t="s">
        <v>299</v>
      </c>
      <c r="E21" s="15"/>
      <c r="F21" s="15"/>
      <c r="G21" s="15"/>
      <c r="H21" s="15"/>
      <c r="I21" s="15"/>
    </row>
    <row r="22" spans="1:9" x14ac:dyDescent="0.2">
      <c r="A22" s="16">
        <v>17</v>
      </c>
      <c r="B22" s="17" t="s">
        <v>338</v>
      </c>
      <c r="C22" s="18" t="s">
        <v>339</v>
      </c>
      <c r="D22" s="19" t="s">
        <v>299</v>
      </c>
      <c r="E22" s="15"/>
      <c r="F22" s="15"/>
      <c r="G22" s="15"/>
      <c r="H22" s="15"/>
      <c r="I22" s="15"/>
    </row>
    <row r="23" spans="1:9" x14ac:dyDescent="0.2">
      <c r="A23" s="16">
        <v>18</v>
      </c>
      <c r="B23" s="17" t="s">
        <v>340</v>
      </c>
      <c r="C23" s="18" t="s">
        <v>341</v>
      </c>
      <c r="D23" s="19" t="s">
        <v>299</v>
      </c>
      <c r="E23" s="15"/>
      <c r="F23" s="15"/>
      <c r="G23" s="15"/>
      <c r="H23" s="15"/>
      <c r="I23" s="15"/>
    </row>
    <row r="24" spans="1:9" x14ac:dyDescent="0.2">
      <c r="A24" s="16">
        <v>19</v>
      </c>
      <c r="B24" s="17" t="s">
        <v>342</v>
      </c>
      <c r="C24" s="18" t="s">
        <v>343</v>
      </c>
      <c r="D24" s="19" t="s">
        <v>344</v>
      </c>
      <c r="E24" s="15"/>
      <c r="F24" s="15"/>
      <c r="G24" s="15"/>
      <c r="H24" s="15"/>
      <c r="I24" s="15"/>
    </row>
    <row r="25" spans="1:9" x14ac:dyDescent="0.2">
      <c r="A25" s="16">
        <v>20</v>
      </c>
      <c r="B25" s="17" t="s">
        <v>345</v>
      </c>
      <c r="C25" s="18" t="s">
        <v>346</v>
      </c>
      <c r="D25" s="19" t="s">
        <v>299</v>
      </c>
      <c r="E25" s="15"/>
      <c r="F25" s="15"/>
      <c r="G25" s="15"/>
      <c r="H25" s="15"/>
      <c r="I25" s="15"/>
    </row>
    <row r="26" spans="1:9" x14ac:dyDescent="0.2">
      <c r="A26" s="16">
        <v>21</v>
      </c>
      <c r="B26" s="17" t="s">
        <v>347</v>
      </c>
      <c r="C26" s="18" t="s">
        <v>348</v>
      </c>
      <c r="D26" s="19" t="s">
        <v>349</v>
      </c>
      <c r="E26" s="15"/>
      <c r="F26" s="15"/>
      <c r="G26" s="15"/>
      <c r="H26" s="15"/>
      <c r="I26" s="15"/>
    </row>
    <row r="27" spans="1:9" x14ac:dyDescent="0.2">
      <c r="A27" s="16">
        <v>22</v>
      </c>
      <c r="B27" s="17" t="s">
        <v>350</v>
      </c>
      <c r="C27" s="18" t="s">
        <v>351</v>
      </c>
      <c r="D27" s="19" t="s">
        <v>352</v>
      </c>
      <c r="E27" s="15"/>
      <c r="F27" s="15"/>
      <c r="G27" s="15"/>
      <c r="H27" s="15"/>
      <c r="I27" s="15"/>
    </row>
    <row r="28" spans="1:9" x14ac:dyDescent="0.2">
      <c r="A28" s="16">
        <v>23</v>
      </c>
      <c r="B28" s="17" t="s">
        <v>353</v>
      </c>
      <c r="C28" s="18" t="s">
        <v>354</v>
      </c>
      <c r="D28" s="19" t="s">
        <v>355</v>
      </c>
      <c r="E28" s="15"/>
      <c r="F28" s="15"/>
      <c r="G28" s="15"/>
      <c r="H28" s="15"/>
      <c r="I28" s="15"/>
    </row>
    <row r="29" spans="1:9" x14ac:dyDescent="0.2">
      <c r="A29" s="16">
        <v>24</v>
      </c>
      <c r="B29" s="17" t="s">
        <v>356</v>
      </c>
      <c r="C29" s="18" t="s">
        <v>357</v>
      </c>
      <c r="D29" s="19" t="s">
        <v>358</v>
      </c>
      <c r="E29" s="15"/>
      <c r="F29" s="15"/>
      <c r="G29" s="15"/>
      <c r="H29" s="15"/>
      <c r="I29" s="15"/>
    </row>
    <row r="30" spans="1:9" x14ac:dyDescent="0.2">
      <c r="A30" s="16">
        <v>25</v>
      </c>
      <c r="B30" s="17" t="s">
        <v>359</v>
      </c>
      <c r="C30" s="18" t="s">
        <v>360</v>
      </c>
      <c r="D30" s="19" t="s">
        <v>361</v>
      </c>
      <c r="E30" s="15"/>
      <c r="F30" s="15"/>
      <c r="G30" s="15"/>
      <c r="H30" s="15"/>
      <c r="I30" s="15"/>
    </row>
    <row r="31" spans="1:9" x14ac:dyDescent="0.2">
      <c r="A31" s="16">
        <v>26</v>
      </c>
      <c r="B31" s="17" t="s">
        <v>362</v>
      </c>
      <c r="C31" s="18" t="s">
        <v>363</v>
      </c>
      <c r="D31" s="19" t="s">
        <v>364</v>
      </c>
      <c r="E31" s="15"/>
      <c r="F31" s="15"/>
      <c r="G31" s="15"/>
      <c r="H31" s="15"/>
      <c r="I31" s="15"/>
    </row>
    <row r="32" spans="1:9" x14ac:dyDescent="0.2">
      <c r="A32" s="16">
        <v>27</v>
      </c>
      <c r="B32" s="17" t="s">
        <v>365</v>
      </c>
      <c r="C32" s="18" t="s">
        <v>366</v>
      </c>
      <c r="D32" s="19" t="s">
        <v>367</v>
      </c>
      <c r="E32" s="15"/>
      <c r="F32" s="15"/>
      <c r="G32" s="15"/>
      <c r="H32" s="15"/>
      <c r="I32" s="15"/>
    </row>
    <row r="33" spans="1:9" x14ac:dyDescent="0.2">
      <c r="A33" s="16">
        <v>28</v>
      </c>
      <c r="B33" s="17" t="s">
        <v>368</v>
      </c>
      <c r="C33" s="18" t="s">
        <v>369</v>
      </c>
      <c r="D33" s="19" t="s">
        <v>370</v>
      </c>
      <c r="E33" s="15"/>
      <c r="F33" s="15"/>
      <c r="G33" s="15"/>
      <c r="H33" s="15"/>
      <c r="I33" s="15"/>
    </row>
    <row r="34" spans="1:9" x14ac:dyDescent="0.2">
      <c r="A34" s="16">
        <v>29</v>
      </c>
      <c r="B34" s="17" t="s">
        <v>371</v>
      </c>
      <c r="C34" s="18" t="s">
        <v>372</v>
      </c>
      <c r="D34" s="19" t="s">
        <v>373</v>
      </c>
      <c r="E34" s="15"/>
      <c r="F34" s="15"/>
      <c r="G34" s="15"/>
      <c r="H34" s="15"/>
      <c r="I34" s="15"/>
    </row>
    <row r="35" spans="1:9" x14ac:dyDescent="0.2">
      <c r="A35" s="16">
        <v>30</v>
      </c>
      <c r="B35" s="17" t="s">
        <v>374</v>
      </c>
      <c r="C35" s="18" t="s">
        <v>375</v>
      </c>
      <c r="D35" s="19" t="s">
        <v>376</v>
      </c>
      <c r="E35" s="15"/>
      <c r="F35" s="15"/>
      <c r="G35" s="15"/>
      <c r="H35" s="15"/>
      <c r="I35" s="15"/>
    </row>
    <row r="36" spans="1:9" x14ac:dyDescent="0.2">
      <c r="A36" s="16">
        <v>31</v>
      </c>
      <c r="B36" s="17" t="s">
        <v>377</v>
      </c>
      <c r="C36" s="18" t="s">
        <v>378</v>
      </c>
      <c r="D36" s="19" t="s">
        <v>379</v>
      </c>
      <c r="E36" s="15"/>
      <c r="F36" s="15"/>
      <c r="G36" s="15"/>
      <c r="H36" s="15"/>
      <c r="I36" s="15"/>
    </row>
    <row r="37" spans="1:9" x14ac:dyDescent="0.2">
      <c r="A37" s="16">
        <v>32</v>
      </c>
      <c r="B37" s="17" t="s">
        <v>380</v>
      </c>
      <c r="C37" s="18" t="s">
        <v>381</v>
      </c>
      <c r="D37" s="19" t="s">
        <v>382</v>
      </c>
      <c r="E37" s="15"/>
      <c r="F37" s="15"/>
      <c r="G37" s="15"/>
      <c r="H37" s="15"/>
      <c r="I37" s="15"/>
    </row>
    <row r="38" spans="1:9" x14ac:dyDescent="0.2">
      <c r="A38" s="16">
        <v>33</v>
      </c>
      <c r="B38" s="17" t="s">
        <v>383</v>
      </c>
      <c r="C38" s="18" t="s">
        <v>384</v>
      </c>
      <c r="D38" s="19" t="s">
        <v>385</v>
      </c>
      <c r="E38" s="15"/>
      <c r="F38" s="15"/>
      <c r="G38" s="15"/>
      <c r="H38" s="15"/>
      <c r="I38" s="15"/>
    </row>
    <row r="39" spans="1:9" x14ac:dyDescent="0.2">
      <c r="A39" s="16">
        <v>34</v>
      </c>
      <c r="B39" s="17" t="s">
        <v>386</v>
      </c>
      <c r="C39" s="18" t="s">
        <v>387</v>
      </c>
      <c r="D39" s="19" t="s">
        <v>388</v>
      </c>
      <c r="E39" s="15"/>
      <c r="F39" s="15"/>
      <c r="G39" s="15"/>
      <c r="H39" s="15"/>
      <c r="I39" s="15"/>
    </row>
    <row r="41" spans="1:9" x14ac:dyDescent="0.2">
      <c r="A41" s="20" t="s">
        <v>389</v>
      </c>
      <c r="C41" s="20">
        <f>COUNTIF(E6:E39,"Tự thi công")</f>
        <v>0</v>
      </c>
    </row>
    <row r="42" spans="1:9" x14ac:dyDescent="0.2">
      <c r="A42" s="20" t="s">
        <v>390</v>
      </c>
      <c r="C42" s="20">
        <f>COUNTIF(E6:E39,"Qua đối tác")</f>
        <v>0</v>
      </c>
    </row>
  </sheetData>
  <mergeCells count="3">
    <mergeCell ref="A1:I1"/>
    <mergeCell ref="A3:I3"/>
    <mergeCell ref="A2:I2"/>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400-000000000000}">
          <x14:formula1>
            <xm:f>'08_DANH_MUC'!$C$6:$C$8</xm:f>
          </x14:formula1>
          <xm:sqref>E6:E39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8"/>
  <sheetViews>
    <sheetView workbookViewId="0">
      <pane xSplit="2" ySplit="5" topLeftCell="C6" activePane="bottomRight" state="frozen"/>
      <selection pane="topRight"/>
      <selection pane="bottomLeft"/>
      <selection pane="bottomRight" sqref="A1:M1"/>
    </sheetView>
  </sheetViews>
  <sheetFormatPr baseColWidth="10" defaultColWidth="8.83203125" defaultRowHeight="15" x14ac:dyDescent="0.2"/>
  <cols>
    <col min="1" max="1" width="13" customWidth="1"/>
    <col min="2" max="2" width="22" customWidth="1"/>
    <col min="3" max="3" width="18" customWidth="1"/>
    <col min="4" max="5" width="11" customWidth="1"/>
    <col min="6" max="6" width="20" customWidth="1"/>
    <col min="7" max="7" width="15" customWidth="1"/>
    <col min="8" max="8" width="13" customWidth="1"/>
    <col min="9" max="9" width="14" customWidth="1"/>
    <col min="10" max="10" width="17" customWidth="1"/>
    <col min="11" max="11" width="20" customWidth="1"/>
    <col min="12" max="12" width="16" customWidth="1"/>
    <col min="13" max="13" width="24" customWidth="1"/>
  </cols>
  <sheetData>
    <row r="1" spans="1:13" ht="26" customHeight="1" x14ac:dyDescent="0.2">
      <c r="A1" s="26" t="s">
        <v>391</v>
      </c>
      <c r="B1" s="22"/>
      <c r="C1" s="22"/>
      <c r="D1" s="22"/>
      <c r="E1" s="22"/>
      <c r="F1" s="22"/>
      <c r="G1" s="22"/>
      <c r="H1" s="22"/>
      <c r="I1" s="22"/>
      <c r="J1" s="22"/>
      <c r="K1" s="22"/>
      <c r="L1" s="22"/>
      <c r="M1" s="22"/>
    </row>
    <row r="2" spans="1:13" x14ac:dyDescent="0.2">
      <c r="A2" s="21" t="s">
        <v>392</v>
      </c>
      <c r="B2" s="22"/>
      <c r="C2" s="22"/>
      <c r="D2" s="22"/>
      <c r="E2" s="22"/>
      <c r="F2" s="22"/>
      <c r="G2" s="22"/>
      <c r="H2" s="22"/>
      <c r="I2" s="22"/>
      <c r="J2" s="22"/>
      <c r="K2" s="22"/>
      <c r="L2" s="22"/>
      <c r="M2" s="22"/>
    </row>
    <row r="3" spans="1:13" x14ac:dyDescent="0.2">
      <c r="A3" s="21" t="s">
        <v>393</v>
      </c>
      <c r="B3" s="22"/>
      <c r="C3" s="22"/>
      <c r="D3" s="22"/>
      <c r="E3" s="22"/>
      <c r="F3" s="22"/>
      <c r="G3" s="22"/>
      <c r="H3" s="22"/>
      <c r="I3" s="22"/>
      <c r="J3" s="22"/>
      <c r="K3" s="22"/>
      <c r="L3" s="22"/>
      <c r="M3" s="22"/>
    </row>
    <row r="5" spans="1:13" ht="42" customHeight="1" x14ac:dyDescent="0.2">
      <c r="A5" s="3" t="s">
        <v>394</v>
      </c>
      <c r="B5" s="3" t="s">
        <v>395</v>
      </c>
      <c r="C5" s="3" t="s">
        <v>396</v>
      </c>
      <c r="D5" s="3" t="s">
        <v>397</v>
      </c>
      <c r="E5" s="3" t="s">
        <v>398</v>
      </c>
      <c r="F5" s="3" t="s">
        <v>399</v>
      </c>
      <c r="G5" s="3" t="s">
        <v>400</v>
      </c>
      <c r="H5" s="3" t="s">
        <v>401</v>
      </c>
      <c r="I5" s="3" t="s">
        <v>402</v>
      </c>
      <c r="J5" s="3" t="s">
        <v>403</v>
      </c>
      <c r="K5" s="3" t="s">
        <v>404</v>
      </c>
      <c r="L5" s="3" t="s">
        <v>405</v>
      </c>
      <c r="M5" s="3" t="s">
        <v>260</v>
      </c>
    </row>
    <row r="6" spans="1:13" x14ac:dyDescent="0.2">
      <c r="A6" s="15"/>
      <c r="B6" s="15"/>
      <c r="C6" s="15"/>
      <c r="D6" s="15"/>
      <c r="E6" s="15"/>
      <c r="F6" s="15"/>
      <c r="G6" s="15"/>
      <c r="H6" s="15"/>
      <c r="I6" s="15"/>
      <c r="J6" s="15"/>
      <c r="K6" s="15"/>
      <c r="L6" s="15"/>
      <c r="M6" s="15"/>
    </row>
    <row r="7" spans="1:13" x14ac:dyDescent="0.2">
      <c r="A7" s="15"/>
      <c r="B7" s="15"/>
      <c r="C7" s="15"/>
      <c r="D7" s="15"/>
      <c r="E7" s="15"/>
      <c r="F7" s="15"/>
      <c r="G7" s="15"/>
      <c r="H7" s="15"/>
      <c r="I7" s="15"/>
      <c r="J7" s="15"/>
      <c r="K7" s="15"/>
      <c r="L7" s="15"/>
      <c r="M7" s="15"/>
    </row>
    <row r="8" spans="1:13" x14ac:dyDescent="0.2">
      <c r="A8" s="15"/>
      <c r="B8" s="15"/>
      <c r="C8" s="15"/>
      <c r="D8" s="15"/>
      <c r="E8" s="15"/>
      <c r="F8" s="15"/>
      <c r="G8" s="15"/>
      <c r="H8" s="15"/>
      <c r="I8" s="15"/>
      <c r="J8" s="15"/>
      <c r="K8" s="15"/>
      <c r="L8" s="15"/>
      <c r="M8" s="15"/>
    </row>
    <row r="9" spans="1:13" x14ac:dyDescent="0.2">
      <c r="A9" s="15"/>
      <c r="B9" s="15"/>
      <c r="C9" s="15"/>
      <c r="D9" s="15"/>
      <c r="E9" s="15"/>
      <c r="F9" s="15"/>
      <c r="G9" s="15"/>
      <c r="H9" s="15"/>
      <c r="I9" s="15"/>
      <c r="J9" s="15"/>
      <c r="K9" s="15"/>
      <c r="L9" s="15"/>
      <c r="M9" s="15"/>
    </row>
    <row r="10" spans="1:13" x14ac:dyDescent="0.2">
      <c r="A10" s="15"/>
      <c r="B10" s="15"/>
      <c r="C10" s="15"/>
      <c r="D10" s="15"/>
      <c r="E10" s="15"/>
      <c r="F10" s="15"/>
      <c r="G10" s="15"/>
      <c r="H10" s="15"/>
      <c r="I10" s="15"/>
      <c r="J10" s="15"/>
      <c r="K10" s="15"/>
      <c r="L10" s="15"/>
      <c r="M10" s="15"/>
    </row>
    <row r="11" spans="1:13" x14ac:dyDescent="0.2">
      <c r="A11" s="15"/>
      <c r="B11" s="15"/>
      <c r="C11" s="15"/>
      <c r="D11" s="15"/>
      <c r="E11" s="15"/>
      <c r="F11" s="15"/>
      <c r="G11" s="15"/>
      <c r="H11" s="15"/>
      <c r="I11" s="15"/>
      <c r="J11" s="15"/>
      <c r="K11" s="15"/>
      <c r="L11" s="15"/>
      <c r="M11" s="15"/>
    </row>
    <row r="12" spans="1:13" x14ac:dyDescent="0.2">
      <c r="A12" s="15"/>
      <c r="B12" s="15"/>
      <c r="C12" s="15"/>
      <c r="D12" s="15"/>
      <c r="E12" s="15"/>
      <c r="F12" s="15"/>
      <c r="G12" s="15"/>
      <c r="H12" s="15"/>
      <c r="I12" s="15"/>
      <c r="J12" s="15"/>
      <c r="K12" s="15"/>
      <c r="L12" s="15"/>
      <c r="M12" s="15"/>
    </row>
    <row r="13" spans="1:13" x14ac:dyDescent="0.2">
      <c r="A13" s="15"/>
      <c r="B13" s="15"/>
      <c r="C13" s="15"/>
      <c r="D13" s="15"/>
      <c r="E13" s="15"/>
      <c r="F13" s="15"/>
      <c r="G13" s="15"/>
      <c r="H13" s="15"/>
      <c r="I13" s="15"/>
      <c r="J13" s="15"/>
      <c r="K13" s="15"/>
      <c r="L13" s="15"/>
      <c r="M13" s="15"/>
    </row>
    <row r="14" spans="1:13" x14ac:dyDescent="0.2">
      <c r="A14" s="15"/>
      <c r="B14" s="15"/>
      <c r="C14" s="15"/>
      <c r="D14" s="15"/>
      <c r="E14" s="15"/>
      <c r="F14" s="15"/>
      <c r="G14" s="15"/>
      <c r="H14" s="15"/>
      <c r="I14" s="15"/>
      <c r="J14" s="15"/>
      <c r="K14" s="15"/>
      <c r="L14" s="15"/>
      <c r="M14" s="15"/>
    </row>
    <row r="15" spans="1:13" x14ac:dyDescent="0.2">
      <c r="A15" s="15"/>
      <c r="B15" s="15"/>
      <c r="C15" s="15"/>
      <c r="D15" s="15"/>
      <c r="E15" s="15"/>
      <c r="F15" s="15"/>
      <c r="G15" s="15"/>
      <c r="H15" s="15"/>
      <c r="I15" s="15"/>
      <c r="J15" s="15"/>
      <c r="K15" s="15"/>
      <c r="L15" s="15"/>
      <c r="M15" s="15"/>
    </row>
    <row r="16" spans="1:13" x14ac:dyDescent="0.2">
      <c r="A16" s="15"/>
      <c r="B16" s="15"/>
      <c r="C16" s="15"/>
      <c r="D16" s="15"/>
      <c r="E16" s="15"/>
      <c r="F16" s="15"/>
      <c r="G16" s="15"/>
      <c r="H16" s="15"/>
      <c r="I16" s="15"/>
      <c r="J16" s="15"/>
      <c r="K16" s="15"/>
      <c r="L16" s="15"/>
      <c r="M16" s="15"/>
    </row>
    <row r="17" spans="1:13" x14ac:dyDescent="0.2">
      <c r="A17" s="15"/>
      <c r="B17" s="15"/>
      <c r="C17" s="15"/>
      <c r="D17" s="15"/>
      <c r="E17" s="15"/>
      <c r="F17" s="15"/>
      <c r="G17" s="15"/>
      <c r="H17" s="15"/>
      <c r="I17" s="15"/>
      <c r="J17" s="15"/>
      <c r="K17" s="15"/>
      <c r="L17" s="15"/>
      <c r="M17" s="15"/>
    </row>
    <row r="18" spans="1:13" x14ac:dyDescent="0.2">
      <c r="A18" s="15"/>
      <c r="B18" s="15"/>
      <c r="C18" s="15"/>
      <c r="D18" s="15"/>
      <c r="E18" s="15"/>
      <c r="F18" s="15"/>
      <c r="G18" s="15"/>
      <c r="H18" s="15"/>
      <c r="I18" s="15"/>
      <c r="J18" s="15"/>
      <c r="K18" s="15"/>
      <c r="L18" s="15"/>
      <c r="M18" s="15"/>
    </row>
    <row r="19" spans="1:13" x14ac:dyDescent="0.2">
      <c r="A19" s="15"/>
      <c r="B19" s="15"/>
      <c r="C19" s="15"/>
      <c r="D19" s="15"/>
      <c r="E19" s="15"/>
      <c r="F19" s="15"/>
      <c r="G19" s="15"/>
      <c r="H19" s="15"/>
      <c r="I19" s="15"/>
      <c r="J19" s="15"/>
      <c r="K19" s="15"/>
      <c r="L19" s="15"/>
      <c r="M19" s="15"/>
    </row>
    <row r="20" spans="1:13" x14ac:dyDescent="0.2">
      <c r="A20" s="15"/>
      <c r="B20" s="15"/>
      <c r="C20" s="15"/>
      <c r="D20" s="15"/>
      <c r="E20" s="15"/>
      <c r="F20" s="15"/>
      <c r="G20" s="15"/>
      <c r="H20" s="15"/>
      <c r="I20" s="15"/>
      <c r="J20" s="15"/>
      <c r="K20" s="15"/>
      <c r="L20" s="15"/>
      <c r="M20" s="15"/>
    </row>
    <row r="21" spans="1:13" x14ac:dyDescent="0.2">
      <c r="A21" s="15"/>
      <c r="B21" s="15"/>
      <c r="C21" s="15"/>
      <c r="D21" s="15"/>
      <c r="E21" s="15"/>
      <c r="F21" s="15"/>
      <c r="G21" s="15"/>
      <c r="H21" s="15"/>
      <c r="I21" s="15"/>
      <c r="J21" s="15"/>
      <c r="K21" s="15"/>
      <c r="L21" s="15"/>
      <c r="M21" s="15"/>
    </row>
    <row r="22" spans="1:13" x14ac:dyDescent="0.2">
      <c r="A22" s="15"/>
      <c r="B22" s="15"/>
      <c r="C22" s="15"/>
      <c r="D22" s="15"/>
      <c r="E22" s="15"/>
      <c r="F22" s="15"/>
      <c r="G22" s="15"/>
      <c r="H22" s="15"/>
      <c r="I22" s="15"/>
      <c r="J22" s="15"/>
      <c r="K22" s="15"/>
      <c r="L22" s="15"/>
      <c r="M22" s="15"/>
    </row>
    <row r="23" spans="1:13" x14ac:dyDescent="0.2">
      <c r="A23" s="15"/>
      <c r="B23" s="15"/>
      <c r="C23" s="15"/>
      <c r="D23" s="15"/>
      <c r="E23" s="15"/>
      <c r="F23" s="15"/>
      <c r="G23" s="15"/>
      <c r="H23" s="15"/>
      <c r="I23" s="15"/>
      <c r="J23" s="15"/>
      <c r="K23" s="15"/>
      <c r="L23" s="15"/>
      <c r="M23" s="15"/>
    </row>
    <row r="24" spans="1:13" x14ac:dyDescent="0.2">
      <c r="A24" s="15"/>
      <c r="B24" s="15"/>
      <c r="C24" s="15"/>
      <c r="D24" s="15"/>
      <c r="E24" s="15"/>
      <c r="F24" s="15"/>
      <c r="G24" s="15"/>
      <c r="H24" s="15"/>
      <c r="I24" s="15"/>
      <c r="J24" s="15"/>
      <c r="K24" s="15"/>
      <c r="L24" s="15"/>
      <c r="M24" s="15"/>
    </row>
    <row r="25" spans="1:13" x14ac:dyDescent="0.2">
      <c r="A25" s="15"/>
      <c r="B25" s="15"/>
      <c r="C25" s="15"/>
      <c r="D25" s="15"/>
      <c r="E25" s="15"/>
      <c r="F25" s="15"/>
      <c r="G25" s="15"/>
      <c r="H25" s="15"/>
      <c r="I25" s="15"/>
      <c r="J25" s="15"/>
      <c r="K25" s="15"/>
      <c r="L25" s="15"/>
      <c r="M25" s="15"/>
    </row>
    <row r="26" spans="1:13" x14ac:dyDescent="0.2">
      <c r="A26" s="15"/>
      <c r="B26" s="15"/>
      <c r="C26" s="15"/>
      <c r="D26" s="15"/>
      <c r="E26" s="15"/>
      <c r="F26" s="15"/>
      <c r="G26" s="15"/>
      <c r="H26" s="15"/>
      <c r="I26" s="15"/>
      <c r="J26" s="15"/>
      <c r="K26" s="15"/>
      <c r="L26" s="15"/>
      <c r="M26" s="15"/>
    </row>
    <row r="27" spans="1:13" x14ac:dyDescent="0.2">
      <c r="A27" s="15"/>
      <c r="B27" s="15"/>
      <c r="C27" s="15"/>
      <c r="D27" s="15"/>
      <c r="E27" s="15"/>
      <c r="F27" s="15"/>
      <c r="G27" s="15"/>
      <c r="H27" s="15"/>
      <c r="I27" s="15"/>
      <c r="J27" s="15"/>
      <c r="K27" s="15"/>
      <c r="L27" s="15"/>
      <c r="M27" s="15"/>
    </row>
    <row r="28" spans="1:13" x14ac:dyDescent="0.2">
      <c r="A28" s="15"/>
      <c r="B28" s="15"/>
      <c r="C28" s="15"/>
      <c r="D28" s="15"/>
      <c r="E28" s="15"/>
      <c r="F28" s="15"/>
      <c r="G28" s="15"/>
      <c r="H28" s="15"/>
      <c r="I28" s="15"/>
      <c r="J28" s="15"/>
      <c r="K28" s="15"/>
      <c r="L28" s="15"/>
      <c r="M28" s="15"/>
    </row>
    <row r="29" spans="1:13" x14ac:dyDescent="0.2">
      <c r="A29" s="15"/>
      <c r="B29" s="15"/>
      <c r="C29" s="15"/>
      <c r="D29" s="15"/>
      <c r="E29" s="15"/>
      <c r="F29" s="15"/>
      <c r="G29" s="15"/>
      <c r="H29" s="15"/>
      <c r="I29" s="15"/>
      <c r="J29" s="15"/>
      <c r="K29" s="15"/>
      <c r="L29" s="15"/>
      <c r="M29" s="15"/>
    </row>
    <row r="30" spans="1:13" x14ac:dyDescent="0.2">
      <c r="A30" s="15"/>
      <c r="B30" s="15"/>
      <c r="C30" s="15"/>
      <c r="D30" s="15"/>
      <c r="E30" s="15"/>
      <c r="F30" s="15"/>
      <c r="G30" s="15"/>
      <c r="H30" s="15"/>
      <c r="I30" s="15"/>
      <c r="J30" s="15"/>
      <c r="K30" s="15"/>
      <c r="L30" s="15"/>
      <c r="M30" s="15"/>
    </row>
    <row r="31" spans="1:13" x14ac:dyDescent="0.2">
      <c r="A31" s="15"/>
      <c r="B31" s="15"/>
      <c r="C31" s="15"/>
      <c r="D31" s="15"/>
      <c r="E31" s="15"/>
      <c r="F31" s="15"/>
      <c r="G31" s="15"/>
      <c r="H31" s="15"/>
      <c r="I31" s="15"/>
      <c r="J31" s="15"/>
      <c r="K31" s="15"/>
      <c r="L31" s="15"/>
      <c r="M31" s="15"/>
    </row>
    <row r="32" spans="1:13" x14ac:dyDescent="0.2">
      <c r="A32" s="15"/>
      <c r="B32" s="15"/>
      <c r="C32" s="15"/>
      <c r="D32" s="15"/>
      <c r="E32" s="15"/>
      <c r="F32" s="15"/>
      <c r="G32" s="15"/>
      <c r="H32" s="15"/>
      <c r="I32" s="15"/>
      <c r="J32" s="15"/>
      <c r="K32" s="15"/>
      <c r="L32" s="15"/>
      <c r="M32" s="15"/>
    </row>
    <row r="33" spans="1:13" x14ac:dyDescent="0.2">
      <c r="A33" s="15"/>
      <c r="B33" s="15"/>
      <c r="C33" s="15"/>
      <c r="D33" s="15"/>
      <c r="E33" s="15"/>
      <c r="F33" s="15"/>
      <c r="G33" s="15"/>
      <c r="H33" s="15"/>
      <c r="I33" s="15"/>
      <c r="J33" s="15"/>
      <c r="K33" s="15"/>
      <c r="L33" s="15"/>
      <c r="M33" s="15"/>
    </row>
    <row r="34" spans="1:13" x14ac:dyDescent="0.2">
      <c r="A34" s="15"/>
      <c r="B34" s="15"/>
      <c r="C34" s="15"/>
      <c r="D34" s="15"/>
      <c r="E34" s="15"/>
      <c r="F34" s="15"/>
      <c r="G34" s="15"/>
      <c r="H34" s="15"/>
      <c r="I34" s="15"/>
      <c r="J34" s="15"/>
      <c r="K34" s="15"/>
      <c r="L34" s="15"/>
      <c r="M34" s="15"/>
    </row>
    <row r="35" spans="1:13" x14ac:dyDescent="0.2">
      <c r="A35" s="15"/>
      <c r="B35" s="15"/>
      <c r="C35" s="15"/>
      <c r="D35" s="15"/>
      <c r="E35" s="15"/>
      <c r="F35" s="15"/>
      <c r="G35" s="15"/>
      <c r="H35" s="15"/>
      <c r="I35" s="15"/>
      <c r="J35" s="15"/>
      <c r="K35" s="15"/>
      <c r="L35" s="15"/>
      <c r="M35" s="15"/>
    </row>
    <row r="36" spans="1:13" x14ac:dyDescent="0.2">
      <c r="A36" s="15"/>
      <c r="B36" s="15"/>
      <c r="C36" s="15"/>
      <c r="D36" s="15"/>
      <c r="E36" s="15"/>
      <c r="F36" s="15"/>
      <c r="G36" s="15"/>
      <c r="H36" s="15"/>
      <c r="I36" s="15"/>
      <c r="J36" s="15"/>
      <c r="K36" s="15"/>
      <c r="L36" s="15"/>
      <c r="M36" s="15"/>
    </row>
    <row r="37" spans="1:13" x14ac:dyDescent="0.2">
      <c r="A37" s="15"/>
      <c r="B37" s="15"/>
      <c r="C37" s="15"/>
      <c r="D37" s="15"/>
      <c r="E37" s="15"/>
      <c r="F37" s="15"/>
      <c r="G37" s="15"/>
      <c r="H37" s="15"/>
      <c r="I37" s="15"/>
      <c r="J37" s="15"/>
      <c r="K37" s="15"/>
      <c r="L37" s="15"/>
      <c r="M37" s="15"/>
    </row>
    <row r="38" spans="1:13" x14ac:dyDescent="0.2">
      <c r="A38" s="15"/>
      <c r="B38" s="15"/>
      <c r="C38" s="15"/>
      <c r="D38" s="15"/>
      <c r="E38" s="15"/>
      <c r="F38" s="15"/>
      <c r="G38" s="15"/>
      <c r="H38" s="15"/>
      <c r="I38" s="15"/>
      <c r="J38" s="15"/>
      <c r="K38" s="15"/>
      <c r="L38" s="15"/>
      <c r="M38" s="15"/>
    </row>
    <row r="39" spans="1:13" x14ac:dyDescent="0.2">
      <c r="A39" s="15"/>
      <c r="B39" s="15"/>
      <c r="C39" s="15"/>
      <c r="D39" s="15"/>
      <c r="E39" s="15"/>
      <c r="F39" s="15"/>
      <c r="G39" s="15"/>
      <c r="H39" s="15"/>
      <c r="I39" s="15"/>
      <c r="J39" s="15"/>
      <c r="K39" s="15"/>
      <c r="L39" s="15"/>
      <c r="M39" s="15"/>
    </row>
    <row r="40" spans="1:13" x14ac:dyDescent="0.2">
      <c r="A40" s="15"/>
      <c r="B40" s="15"/>
      <c r="C40" s="15"/>
      <c r="D40" s="15"/>
      <c r="E40" s="15"/>
      <c r="F40" s="15"/>
      <c r="G40" s="15"/>
      <c r="H40" s="15"/>
      <c r="I40" s="15"/>
      <c r="J40" s="15"/>
      <c r="K40" s="15"/>
      <c r="L40" s="15"/>
      <c r="M40" s="15"/>
    </row>
    <row r="41" spans="1:13" x14ac:dyDescent="0.2">
      <c r="A41" s="15"/>
      <c r="B41" s="15"/>
      <c r="C41" s="15"/>
      <c r="D41" s="15"/>
      <c r="E41" s="15"/>
      <c r="F41" s="15"/>
      <c r="G41" s="15"/>
      <c r="H41" s="15"/>
      <c r="I41" s="15"/>
      <c r="J41" s="15"/>
      <c r="K41" s="15"/>
      <c r="L41" s="15"/>
      <c r="M41" s="15"/>
    </row>
    <row r="42" spans="1:13" x14ac:dyDescent="0.2">
      <c r="A42" s="15"/>
      <c r="B42" s="15"/>
      <c r="C42" s="15"/>
      <c r="D42" s="15"/>
      <c r="E42" s="15"/>
      <c r="F42" s="15"/>
      <c r="G42" s="15"/>
      <c r="H42" s="15"/>
      <c r="I42" s="15"/>
      <c r="J42" s="15"/>
      <c r="K42" s="15"/>
      <c r="L42" s="15"/>
      <c r="M42" s="15"/>
    </row>
    <row r="43" spans="1:13" x14ac:dyDescent="0.2">
      <c r="A43" s="15"/>
      <c r="B43" s="15"/>
      <c r="C43" s="15"/>
      <c r="D43" s="15"/>
      <c r="E43" s="15"/>
      <c r="F43" s="15"/>
      <c r="G43" s="15"/>
      <c r="H43" s="15"/>
      <c r="I43" s="15"/>
      <c r="J43" s="15"/>
      <c r="K43" s="15"/>
      <c r="L43" s="15"/>
      <c r="M43" s="15"/>
    </row>
    <row r="44" spans="1:13" x14ac:dyDescent="0.2">
      <c r="A44" s="15"/>
      <c r="B44" s="15"/>
      <c r="C44" s="15"/>
      <c r="D44" s="15"/>
      <c r="E44" s="15"/>
      <c r="F44" s="15"/>
      <c r="G44" s="15"/>
      <c r="H44" s="15"/>
      <c r="I44" s="15"/>
      <c r="J44" s="15"/>
      <c r="K44" s="15"/>
      <c r="L44" s="15"/>
      <c r="M44" s="15"/>
    </row>
    <row r="45" spans="1:13" x14ac:dyDescent="0.2">
      <c r="A45" s="15"/>
      <c r="B45" s="15"/>
      <c r="C45" s="15"/>
      <c r="D45" s="15"/>
      <c r="E45" s="15"/>
      <c r="F45" s="15"/>
      <c r="G45" s="15"/>
      <c r="H45" s="15"/>
      <c r="I45" s="15"/>
      <c r="J45" s="15"/>
      <c r="K45" s="15"/>
      <c r="L45" s="15"/>
      <c r="M45" s="15"/>
    </row>
    <row r="46" spans="1:13" x14ac:dyDescent="0.2">
      <c r="A46" s="15"/>
      <c r="B46" s="15"/>
      <c r="C46" s="15"/>
      <c r="D46" s="15"/>
      <c r="E46" s="15"/>
      <c r="F46" s="15"/>
      <c r="G46" s="15"/>
      <c r="H46" s="15"/>
      <c r="I46" s="15"/>
      <c r="J46" s="15"/>
      <c r="K46" s="15"/>
      <c r="L46" s="15"/>
      <c r="M46" s="15"/>
    </row>
    <row r="47" spans="1:13" x14ac:dyDescent="0.2">
      <c r="A47" s="15"/>
      <c r="B47" s="15"/>
      <c r="C47" s="15"/>
      <c r="D47" s="15"/>
      <c r="E47" s="15"/>
      <c r="F47" s="15"/>
      <c r="G47" s="15"/>
      <c r="H47" s="15"/>
      <c r="I47" s="15"/>
      <c r="J47" s="15"/>
      <c r="K47" s="15"/>
      <c r="L47" s="15"/>
      <c r="M47" s="15"/>
    </row>
    <row r="48" spans="1:13" x14ac:dyDescent="0.2">
      <c r="A48" s="15"/>
      <c r="B48" s="15"/>
      <c r="C48" s="15"/>
      <c r="D48" s="15"/>
      <c r="E48" s="15"/>
      <c r="F48" s="15"/>
      <c r="G48" s="15"/>
      <c r="H48" s="15"/>
      <c r="I48" s="15"/>
      <c r="J48" s="15"/>
      <c r="K48" s="15"/>
      <c r="L48" s="15"/>
      <c r="M48" s="15"/>
    </row>
    <row r="49" spans="1:13" x14ac:dyDescent="0.2">
      <c r="A49" s="15"/>
      <c r="B49" s="15"/>
      <c r="C49" s="15"/>
      <c r="D49" s="15"/>
      <c r="E49" s="15"/>
      <c r="F49" s="15"/>
      <c r="G49" s="15"/>
      <c r="H49" s="15"/>
      <c r="I49" s="15"/>
      <c r="J49" s="15"/>
      <c r="K49" s="15"/>
      <c r="L49" s="15"/>
      <c r="M49" s="15"/>
    </row>
    <row r="50" spans="1:13" x14ac:dyDescent="0.2">
      <c r="A50" s="15"/>
      <c r="B50" s="15"/>
      <c r="C50" s="15"/>
      <c r="D50" s="15"/>
      <c r="E50" s="15"/>
      <c r="F50" s="15"/>
      <c r="G50" s="15"/>
      <c r="H50" s="15"/>
      <c r="I50" s="15"/>
      <c r="J50" s="15"/>
      <c r="K50" s="15"/>
      <c r="L50" s="15"/>
      <c r="M50" s="15"/>
    </row>
    <row r="51" spans="1:13" x14ac:dyDescent="0.2">
      <c r="A51" s="15"/>
      <c r="B51" s="15"/>
      <c r="C51" s="15"/>
      <c r="D51" s="15"/>
      <c r="E51" s="15"/>
      <c r="F51" s="15"/>
      <c r="G51" s="15"/>
      <c r="H51" s="15"/>
      <c r="I51" s="15"/>
      <c r="J51" s="15"/>
      <c r="K51" s="15"/>
      <c r="L51" s="15"/>
      <c r="M51" s="15"/>
    </row>
    <row r="52" spans="1:13" x14ac:dyDescent="0.2">
      <c r="A52" s="15"/>
      <c r="B52" s="15"/>
      <c r="C52" s="15"/>
      <c r="D52" s="15"/>
      <c r="E52" s="15"/>
      <c r="F52" s="15"/>
      <c r="G52" s="15"/>
      <c r="H52" s="15"/>
      <c r="I52" s="15"/>
      <c r="J52" s="15"/>
      <c r="K52" s="15"/>
      <c r="L52" s="15"/>
      <c r="M52" s="15"/>
    </row>
    <row r="53" spans="1:13" x14ac:dyDescent="0.2">
      <c r="A53" s="15"/>
      <c r="B53" s="15"/>
      <c r="C53" s="15"/>
      <c r="D53" s="15"/>
      <c r="E53" s="15"/>
      <c r="F53" s="15"/>
      <c r="G53" s="15"/>
      <c r="H53" s="15"/>
      <c r="I53" s="15"/>
      <c r="J53" s="15"/>
      <c r="K53" s="15"/>
      <c r="L53" s="15"/>
      <c r="M53" s="15"/>
    </row>
    <row r="54" spans="1:13" x14ac:dyDescent="0.2">
      <c r="A54" s="15"/>
      <c r="B54" s="15"/>
      <c r="C54" s="15"/>
      <c r="D54" s="15"/>
      <c r="E54" s="15"/>
      <c r="F54" s="15"/>
      <c r="G54" s="15"/>
      <c r="H54" s="15"/>
      <c r="I54" s="15"/>
      <c r="J54" s="15"/>
      <c r="K54" s="15"/>
      <c r="L54" s="15"/>
      <c r="M54" s="15"/>
    </row>
    <row r="55" spans="1:13" x14ac:dyDescent="0.2">
      <c r="A55" s="15"/>
      <c r="B55" s="15"/>
      <c r="C55" s="15"/>
      <c r="D55" s="15"/>
      <c r="E55" s="15"/>
      <c r="F55" s="15"/>
      <c r="G55" s="15"/>
      <c r="H55" s="15"/>
      <c r="I55" s="15"/>
      <c r="J55" s="15"/>
      <c r="K55" s="15"/>
      <c r="L55" s="15"/>
      <c r="M55" s="15"/>
    </row>
    <row r="56" spans="1:13" x14ac:dyDescent="0.2">
      <c r="A56" s="15"/>
      <c r="B56" s="15"/>
      <c r="C56" s="15"/>
      <c r="D56" s="15"/>
      <c r="E56" s="15"/>
      <c r="F56" s="15"/>
      <c r="G56" s="15"/>
      <c r="H56" s="15"/>
      <c r="I56" s="15"/>
      <c r="J56" s="15"/>
      <c r="K56" s="15"/>
      <c r="L56" s="15"/>
      <c r="M56" s="15"/>
    </row>
    <row r="57" spans="1:13" x14ac:dyDescent="0.2">
      <c r="A57" s="15"/>
      <c r="B57" s="15"/>
      <c r="C57" s="15"/>
      <c r="D57" s="15"/>
      <c r="E57" s="15"/>
      <c r="F57" s="15"/>
      <c r="G57" s="15"/>
      <c r="H57" s="15"/>
      <c r="I57" s="15"/>
      <c r="J57" s="15"/>
      <c r="K57" s="15"/>
      <c r="L57" s="15"/>
      <c r="M57" s="15"/>
    </row>
    <row r="58" spans="1:13" x14ac:dyDescent="0.2">
      <c r="A58" s="15"/>
      <c r="B58" s="15"/>
      <c r="C58" s="15"/>
      <c r="D58" s="15"/>
      <c r="E58" s="15"/>
      <c r="F58" s="15"/>
      <c r="G58" s="15"/>
      <c r="H58" s="15"/>
      <c r="I58" s="15"/>
      <c r="J58" s="15"/>
      <c r="K58" s="15"/>
      <c r="L58" s="15"/>
      <c r="M58" s="15"/>
    </row>
    <row r="59" spans="1:13" x14ac:dyDescent="0.2">
      <c r="A59" s="15"/>
      <c r="B59" s="15"/>
      <c r="C59" s="15"/>
      <c r="D59" s="15"/>
      <c r="E59" s="15"/>
      <c r="F59" s="15"/>
      <c r="G59" s="15"/>
      <c r="H59" s="15"/>
      <c r="I59" s="15"/>
      <c r="J59" s="15"/>
      <c r="K59" s="15"/>
      <c r="L59" s="15"/>
      <c r="M59" s="15"/>
    </row>
    <row r="60" spans="1:13" x14ac:dyDescent="0.2">
      <c r="A60" s="15"/>
      <c r="B60" s="15"/>
      <c r="C60" s="15"/>
      <c r="D60" s="15"/>
      <c r="E60" s="15"/>
      <c r="F60" s="15"/>
      <c r="G60" s="15"/>
      <c r="H60" s="15"/>
      <c r="I60" s="15"/>
      <c r="J60" s="15"/>
      <c r="K60" s="15"/>
      <c r="L60" s="15"/>
      <c r="M60" s="15"/>
    </row>
    <row r="61" spans="1:13" x14ac:dyDescent="0.2">
      <c r="A61" s="15"/>
      <c r="B61" s="15"/>
      <c r="C61" s="15"/>
      <c r="D61" s="15"/>
      <c r="E61" s="15"/>
      <c r="F61" s="15"/>
      <c r="G61" s="15"/>
      <c r="H61" s="15"/>
      <c r="I61" s="15"/>
      <c r="J61" s="15"/>
      <c r="K61" s="15"/>
      <c r="L61" s="15"/>
      <c r="M61" s="15"/>
    </row>
    <row r="62" spans="1:13" x14ac:dyDescent="0.2">
      <c r="A62" s="15"/>
      <c r="B62" s="15"/>
      <c r="C62" s="15"/>
      <c r="D62" s="15"/>
      <c r="E62" s="15"/>
      <c r="F62" s="15"/>
      <c r="G62" s="15"/>
      <c r="H62" s="15"/>
      <c r="I62" s="15"/>
      <c r="J62" s="15"/>
      <c r="K62" s="15"/>
      <c r="L62" s="15"/>
      <c r="M62" s="15"/>
    </row>
    <row r="63" spans="1:13" x14ac:dyDescent="0.2">
      <c r="A63" s="15"/>
      <c r="B63" s="15"/>
      <c r="C63" s="15"/>
      <c r="D63" s="15"/>
      <c r="E63" s="15"/>
      <c r="F63" s="15"/>
      <c r="G63" s="15"/>
      <c r="H63" s="15"/>
      <c r="I63" s="15"/>
      <c r="J63" s="15"/>
      <c r="K63" s="15"/>
      <c r="L63" s="15"/>
      <c r="M63" s="15"/>
    </row>
    <row r="64" spans="1:13" x14ac:dyDescent="0.2">
      <c r="A64" s="15"/>
      <c r="B64" s="15"/>
      <c r="C64" s="15"/>
      <c r="D64" s="15"/>
      <c r="E64" s="15"/>
      <c r="F64" s="15"/>
      <c r="G64" s="15"/>
      <c r="H64" s="15"/>
      <c r="I64" s="15"/>
      <c r="J64" s="15"/>
      <c r="K64" s="15"/>
      <c r="L64" s="15"/>
      <c r="M64" s="15"/>
    </row>
    <row r="65" spans="1:13" x14ac:dyDescent="0.2">
      <c r="A65" s="15"/>
      <c r="B65" s="15"/>
      <c r="C65" s="15"/>
      <c r="D65" s="15"/>
      <c r="E65" s="15"/>
      <c r="F65" s="15"/>
      <c r="G65" s="15"/>
      <c r="H65" s="15"/>
      <c r="I65" s="15"/>
      <c r="J65" s="15"/>
      <c r="K65" s="15"/>
      <c r="L65" s="15"/>
      <c r="M65" s="15"/>
    </row>
    <row r="66" spans="1:13" x14ac:dyDescent="0.2">
      <c r="A66" s="15"/>
      <c r="B66" s="15"/>
      <c r="C66" s="15"/>
      <c r="D66" s="15"/>
      <c r="E66" s="15"/>
      <c r="F66" s="15"/>
      <c r="G66" s="15"/>
      <c r="H66" s="15"/>
      <c r="I66" s="15"/>
      <c r="J66" s="15"/>
      <c r="K66" s="15"/>
      <c r="L66" s="15"/>
      <c r="M66" s="15"/>
    </row>
    <row r="67" spans="1:13" x14ac:dyDescent="0.2">
      <c r="A67" s="15"/>
      <c r="B67" s="15"/>
      <c r="C67" s="15"/>
      <c r="D67" s="15"/>
      <c r="E67" s="15"/>
      <c r="F67" s="15"/>
      <c r="G67" s="15"/>
      <c r="H67" s="15"/>
      <c r="I67" s="15"/>
      <c r="J67" s="15"/>
      <c r="K67" s="15"/>
      <c r="L67" s="15"/>
      <c r="M67" s="15"/>
    </row>
    <row r="68" spans="1:13" x14ac:dyDescent="0.2">
      <c r="A68" s="15"/>
      <c r="B68" s="15"/>
      <c r="C68" s="15"/>
      <c r="D68" s="15"/>
      <c r="E68" s="15"/>
      <c r="F68" s="15"/>
      <c r="G68" s="15"/>
      <c r="H68" s="15"/>
      <c r="I68" s="15"/>
      <c r="J68" s="15"/>
      <c r="K68" s="15"/>
      <c r="L68" s="15"/>
      <c r="M68" s="15"/>
    </row>
    <row r="69" spans="1:13" x14ac:dyDescent="0.2">
      <c r="A69" s="15"/>
      <c r="B69" s="15"/>
      <c r="C69" s="15"/>
      <c r="D69" s="15"/>
      <c r="E69" s="15"/>
      <c r="F69" s="15"/>
      <c r="G69" s="15"/>
      <c r="H69" s="15"/>
      <c r="I69" s="15"/>
      <c r="J69" s="15"/>
      <c r="K69" s="15"/>
      <c r="L69" s="15"/>
      <c r="M69" s="15"/>
    </row>
    <row r="70" spans="1:13" x14ac:dyDescent="0.2">
      <c r="A70" s="15"/>
      <c r="B70" s="15"/>
      <c r="C70" s="15"/>
      <c r="D70" s="15"/>
      <c r="E70" s="15"/>
      <c r="F70" s="15"/>
      <c r="G70" s="15"/>
      <c r="H70" s="15"/>
      <c r="I70" s="15"/>
      <c r="J70" s="15"/>
      <c r="K70" s="15"/>
      <c r="L70" s="15"/>
      <c r="M70" s="15"/>
    </row>
    <row r="71" spans="1:13" x14ac:dyDescent="0.2">
      <c r="A71" s="15"/>
      <c r="B71" s="15"/>
      <c r="C71" s="15"/>
      <c r="D71" s="15"/>
      <c r="E71" s="15"/>
      <c r="F71" s="15"/>
      <c r="G71" s="15"/>
      <c r="H71" s="15"/>
      <c r="I71" s="15"/>
      <c r="J71" s="15"/>
      <c r="K71" s="15"/>
      <c r="L71" s="15"/>
      <c r="M71" s="15"/>
    </row>
    <row r="72" spans="1:13" x14ac:dyDescent="0.2">
      <c r="A72" s="15"/>
      <c r="B72" s="15"/>
      <c r="C72" s="15"/>
      <c r="D72" s="15"/>
      <c r="E72" s="15"/>
      <c r="F72" s="15"/>
      <c r="G72" s="15"/>
      <c r="H72" s="15"/>
      <c r="I72" s="15"/>
      <c r="J72" s="15"/>
      <c r="K72" s="15"/>
      <c r="L72" s="15"/>
      <c r="M72" s="15"/>
    </row>
    <row r="73" spans="1:13" x14ac:dyDescent="0.2">
      <c r="A73" s="15"/>
      <c r="B73" s="15"/>
      <c r="C73" s="15"/>
      <c r="D73" s="15"/>
      <c r="E73" s="15"/>
      <c r="F73" s="15"/>
      <c r="G73" s="15"/>
      <c r="H73" s="15"/>
      <c r="I73" s="15"/>
      <c r="J73" s="15"/>
      <c r="K73" s="15"/>
      <c r="L73" s="15"/>
      <c r="M73" s="15"/>
    </row>
    <row r="74" spans="1:13" x14ac:dyDescent="0.2">
      <c r="A74" s="15"/>
      <c r="B74" s="15"/>
      <c r="C74" s="15"/>
      <c r="D74" s="15"/>
      <c r="E74" s="15"/>
      <c r="F74" s="15"/>
      <c r="G74" s="15"/>
      <c r="H74" s="15"/>
      <c r="I74" s="15"/>
      <c r="J74" s="15"/>
      <c r="K74" s="15"/>
      <c r="L74" s="15"/>
      <c r="M74" s="15"/>
    </row>
    <row r="75" spans="1:13" x14ac:dyDescent="0.2">
      <c r="A75" s="15"/>
      <c r="B75" s="15"/>
      <c r="C75" s="15"/>
      <c r="D75" s="15"/>
      <c r="E75" s="15"/>
      <c r="F75" s="15"/>
      <c r="G75" s="15"/>
      <c r="H75" s="15"/>
      <c r="I75" s="15"/>
      <c r="J75" s="15"/>
      <c r="K75" s="15"/>
      <c r="L75" s="15"/>
      <c r="M75" s="15"/>
    </row>
    <row r="76" spans="1:13" x14ac:dyDescent="0.2">
      <c r="A76" s="15"/>
      <c r="B76" s="15"/>
      <c r="C76" s="15"/>
      <c r="D76" s="15"/>
      <c r="E76" s="15"/>
      <c r="F76" s="15"/>
      <c r="G76" s="15"/>
      <c r="H76" s="15"/>
      <c r="I76" s="15"/>
      <c r="J76" s="15"/>
      <c r="K76" s="15"/>
      <c r="L76" s="15"/>
      <c r="M76" s="15"/>
    </row>
    <row r="77" spans="1:13" x14ac:dyDescent="0.2">
      <c r="A77" s="15"/>
      <c r="B77" s="15"/>
      <c r="C77" s="15"/>
      <c r="D77" s="15"/>
      <c r="E77" s="15"/>
      <c r="F77" s="15"/>
      <c r="G77" s="15"/>
      <c r="H77" s="15"/>
      <c r="I77" s="15"/>
      <c r="J77" s="15"/>
      <c r="K77" s="15"/>
      <c r="L77" s="15"/>
      <c r="M77" s="15"/>
    </row>
    <row r="78" spans="1:13" x14ac:dyDescent="0.2">
      <c r="A78" s="15"/>
      <c r="B78" s="15"/>
      <c r="C78" s="15"/>
      <c r="D78" s="15"/>
      <c r="E78" s="15"/>
      <c r="F78" s="15"/>
      <c r="G78" s="15"/>
      <c r="H78" s="15"/>
      <c r="I78" s="15"/>
      <c r="J78" s="15"/>
      <c r="K78" s="15"/>
      <c r="L78" s="15"/>
      <c r="M78" s="15"/>
    </row>
    <row r="79" spans="1:13" x14ac:dyDescent="0.2">
      <c r="A79" s="15"/>
      <c r="B79" s="15"/>
      <c r="C79" s="15"/>
      <c r="D79" s="15"/>
      <c r="E79" s="15"/>
      <c r="F79" s="15"/>
      <c r="G79" s="15"/>
      <c r="H79" s="15"/>
      <c r="I79" s="15"/>
      <c r="J79" s="15"/>
      <c r="K79" s="15"/>
      <c r="L79" s="15"/>
      <c r="M79" s="15"/>
    </row>
    <row r="80" spans="1:13" x14ac:dyDescent="0.2">
      <c r="A80" s="15"/>
      <c r="B80" s="15"/>
      <c r="C80" s="15"/>
      <c r="D80" s="15"/>
      <c r="E80" s="15"/>
      <c r="F80" s="15"/>
      <c r="G80" s="15"/>
      <c r="H80" s="15"/>
      <c r="I80" s="15"/>
      <c r="J80" s="15"/>
      <c r="K80" s="15"/>
      <c r="L80" s="15"/>
      <c r="M80" s="15"/>
    </row>
    <row r="81" spans="1:13" x14ac:dyDescent="0.2">
      <c r="A81" s="15"/>
      <c r="B81" s="15"/>
      <c r="C81" s="15"/>
      <c r="D81" s="15"/>
      <c r="E81" s="15"/>
      <c r="F81" s="15"/>
      <c r="G81" s="15"/>
      <c r="H81" s="15"/>
      <c r="I81" s="15"/>
      <c r="J81" s="15"/>
      <c r="K81" s="15"/>
      <c r="L81" s="15"/>
      <c r="M81" s="15"/>
    </row>
    <row r="82" spans="1:13" x14ac:dyDescent="0.2">
      <c r="A82" s="15"/>
      <c r="B82" s="15"/>
      <c r="C82" s="15"/>
      <c r="D82" s="15"/>
      <c r="E82" s="15"/>
      <c r="F82" s="15"/>
      <c r="G82" s="15"/>
      <c r="H82" s="15"/>
      <c r="I82" s="15"/>
      <c r="J82" s="15"/>
      <c r="K82" s="15"/>
      <c r="L82" s="15"/>
      <c r="M82" s="15"/>
    </row>
    <row r="83" spans="1:13" x14ac:dyDescent="0.2">
      <c r="A83" s="15"/>
      <c r="B83" s="15"/>
      <c r="C83" s="15"/>
      <c r="D83" s="15"/>
      <c r="E83" s="15"/>
      <c r="F83" s="15"/>
      <c r="G83" s="15"/>
      <c r="H83" s="15"/>
      <c r="I83" s="15"/>
      <c r="J83" s="15"/>
      <c r="K83" s="15"/>
      <c r="L83" s="15"/>
      <c r="M83" s="15"/>
    </row>
    <row r="84" spans="1:13" x14ac:dyDescent="0.2">
      <c r="A84" s="15"/>
      <c r="B84" s="15"/>
      <c r="C84" s="15"/>
      <c r="D84" s="15"/>
      <c r="E84" s="15"/>
      <c r="F84" s="15"/>
      <c r="G84" s="15"/>
      <c r="H84" s="15"/>
      <c r="I84" s="15"/>
      <c r="J84" s="15"/>
      <c r="K84" s="15"/>
      <c r="L84" s="15"/>
      <c r="M84" s="15"/>
    </row>
    <row r="85" spans="1:13" x14ac:dyDescent="0.2">
      <c r="A85" s="15"/>
      <c r="B85" s="15"/>
      <c r="C85" s="15"/>
      <c r="D85" s="15"/>
      <c r="E85" s="15"/>
      <c r="F85" s="15"/>
      <c r="G85" s="15"/>
      <c r="H85" s="15"/>
      <c r="I85" s="15"/>
      <c r="J85" s="15"/>
      <c r="K85" s="15"/>
      <c r="L85" s="15"/>
      <c r="M85" s="15"/>
    </row>
    <row r="86" spans="1:13" x14ac:dyDescent="0.2">
      <c r="A86" s="15"/>
      <c r="B86" s="15"/>
      <c r="C86" s="15"/>
      <c r="D86" s="15"/>
      <c r="E86" s="15"/>
      <c r="F86" s="15"/>
      <c r="G86" s="15"/>
      <c r="H86" s="15"/>
      <c r="I86" s="15"/>
      <c r="J86" s="15"/>
      <c r="K86" s="15"/>
      <c r="L86" s="15"/>
      <c r="M86" s="15"/>
    </row>
    <row r="87" spans="1:13" x14ac:dyDescent="0.2">
      <c r="A87" s="15"/>
      <c r="B87" s="15"/>
      <c r="C87" s="15"/>
      <c r="D87" s="15"/>
      <c r="E87" s="15"/>
      <c r="F87" s="15"/>
      <c r="G87" s="15"/>
      <c r="H87" s="15"/>
      <c r="I87" s="15"/>
      <c r="J87" s="15"/>
      <c r="K87" s="15"/>
      <c r="L87" s="15"/>
      <c r="M87" s="15"/>
    </row>
    <row r="88" spans="1:13" x14ac:dyDescent="0.2">
      <c r="A88" s="15"/>
      <c r="B88" s="15"/>
      <c r="C88" s="15"/>
      <c r="D88" s="15"/>
      <c r="E88" s="15"/>
      <c r="F88" s="15"/>
      <c r="G88" s="15"/>
      <c r="H88" s="15"/>
      <c r="I88" s="15"/>
      <c r="J88" s="15"/>
      <c r="K88" s="15"/>
      <c r="L88" s="15"/>
      <c r="M88" s="15"/>
    </row>
    <row r="89" spans="1:13" x14ac:dyDescent="0.2">
      <c r="A89" s="15"/>
      <c r="B89" s="15"/>
      <c r="C89" s="15"/>
      <c r="D89" s="15"/>
      <c r="E89" s="15"/>
      <c r="F89" s="15"/>
      <c r="G89" s="15"/>
      <c r="H89" s="15"/>
      <c r="I89" s="15"/>
      <c r="J89" s="15"/>
      <c r="K89" s="15"/>
      <c r="L89" s="15"/>
      <c r="M89" s="15"/>
    </row>
    <row r="90" spans="1:13" x14ac:dyDescent="0.2">
      <c r="A90" s="15"/>
      <c r="B90" s="15"/>
      <c r="C90" s="15"/>
      <c r="D90" s="15"/>
      <c r="E90" s="15"/>
      <c r="F90" s="15"/>
      <c r="G90" s="15"/>
      <c r="H90" s="15"/>
      <c r="I90" s="15"/>
      <c r="J90" s="15"/>
      <c r="K90" s="15"/>
      <c r="L90" s="15"/>
      <c r="M90" s="15"/>
    </row>
    <row r="91" spans="1:13" x14ac:dyDescent="0.2">
      <c r="A91" s="15"/>
      <c r="B91" s="15"/>
      <c r="C91" s="15"/>
      <c r="D91" s="15"/>
      <c r="E91" s="15"/>
      <c r="F91" s="15"/>
      <c r="G91" s="15"/>
      <c r="H91" s="15"/>
      <c r="I91" s="15"/>
      <c r="J91" s="15"/>
      <c r="K91" s="15"/>
      <c r="L91" s="15"/>
      <c r="M91" s="15"/>
    </row>
    <row r="92" spans="1:13" x14ac:dyDescent="0.2">
      <c r="A92" s="15"/>
      <c r="B92" s="15"/>
      <c r="C92" s="15"/>
      <c r="D92" s="15"/>
      <c r="E92" s="15"/>
      <c r="F92" s="15"/>
      <c r="G92" s="15"/>
      <c r="H92" s="15"/>
      <c r="I92" s="15"/>
      <c r="J92" s="15"/>
      <c r="K92" s="15"/>
      <c r="L92" s="15"/>
      <c r="M92" s="15"/>
    </row>
    <row r="93" spans="1:13" x14ac:dyDescent="0.2">
      <c r="A93" s="15"/>
      <c r="B93" s="15"/>
      <c r="C93" s="15"/>
      <c r="D93" s="15"/>
      <c r="E93" s="15"/>
      <c r="F93" s="15"/>
      <c r="G93" s="15"/>
      <c r="H93" s="15"/>
      <c r="I93" s="15"/>
      <c r="J93" s="15"/>
      <c r="K93" s="15"/>
      <c r="L93" s="15"/>
      <c r="M93" s="15"/>
    </row>
    <row r="94" spans="1:13" x14ac:dyDescent="0.2">
      <c r="A94" s="15"/>
      <c r="B94" s="15"/>
      <c r="C94" s="15"/>
      <c r="D94" s="15"/>
      <c r="E94" s="15"/>
      <c r="F94" s="15"/>
      <c r="G94" s="15"/>
      <c r="H94" s="15"/>
      <c r="I94" s="15"/>
      <c r="J94" s="15"/>
      <c r="K94" s="15"/>
      <c r="L94" s="15"/>
      <c r="M94" s="15"/>
    </row>
    <row r="95" spans="1:13" x14ac:dyDescent="0.2">
      <c r="A95" s="15"/>
      <c r="B95" s="15"/>
      <c r="C95" s="15"/>
      <c r="D95" s="15"/>
      <c r="E95" s="15"/>
      <c r="F95" s="15"/>
      <c r="G95" s="15"/>
      <c r="H95" s="15"/>
      <c r="I95" s="15"/>
      <c r="J95" s="15"/>
      <c r="K95" s="15"/>
      <c r="L95" s="15"/>
      <c r="M95" s="15"/>
    </row>
    <row r="96" spans="1:13" x14ac:dyDescent="0.2">
      <c r="A96" s="15"/>
      <c r="B96" s="15"/>
      <c r="C96" s="15"/>
      <c r="D96" s="15"/>
      <c r="E96" s="15"/>
      <c r="F96" s="15"/>
      <c r="G96" s="15"/>
      <c r="H96" s="15"/>
      <c r="I96" s="15"/>
      <c r="J96" s="15"/>
      <c r="K96" s="15"/>
      <c r="L96" s="15"/>
      <c r="M96" s="15"/>
    </row>
    <row r="97" spans="1:13" x14ac:dyDescent="0.2">
      <c r="A97" s="15"/>
      <c r="B97" s="15"/>
      <c r="C97" s="15"/>
      <c r="D97" s="15"/>
      <c r="E97" s="15"/>
      <c r="F97" s="15"/>
      <c r="G97" s="15"/>
      <c r="H97" s="15"/>
      <c r="I97" s="15"/>
      <c r="J97" s="15"/>
      <c r="K97" s="15"/>
      <c r="L97" s="15"/>
      <c r="M97" s="15"/>
    </row>
    <row r="98" spans="1:13" x14ac:dyDescent="0.2">
      <c r="A98" s="15"/>
      <c r="B98" s="15"/>
      <c r="C98" s="15"/>
      <c r="D98" s="15"/>
      <c r="E98" s="15"/>
      <c r="F98" s="15"/>
      <c r="G98" s="15"/>
      <c r="H98" s="15"/>
      <c r="I98" s="15"/>
      <c r="J98" s="15"/>
      <c r="K98" s="15"/>
      <c r="L98" s="15"/>
      <c r="M98" s="15"/>
    </row>
    <row r="99" spans="1:13" x14ac:dyDescent="0.2">
      <c r="A99" s="15"/>
      <c r="B99" s="15"/>
      <c r="C99" s="15"/>
      <c r="D99" s="15"/>
      <c r="E99" s="15"/>
      <c r="F99" s="15"/>
      <c r="G99" s="15"/>
      <c r="H99" s="15"/>
      <c r="I99" s="15"/>
      <c r="J99" s="15"/>
      <c r="K99" s="15"/>
      <c r="L99" s="15"/>
      <c r="M99" s="15"/>
    </row>
    <row r="100" spans="1:13" x14ac:dyDescent="0.2">
      <c r="A100" s="15"/>
      <c r="B100" s="15"/>
      <c r="C100" s="15"/>
      <c r="D100" s="15"/>
      <c r="E100" s="15"/>
      <c r="F100" s="15"/>
      <c r="G100" s="15"/>
      <c r="H100" s="15"/>
      <c r="I100" s="15"/>
      <c r="J100" s="15"/>
      <c r="K100" s="15"/>
      <c r="L100" s="15"/>
      <c r="M100" s="15"/>
    </row>
    <row r="101" spans="1:13" x14ac:dyDescent="0.2">
      <c r="A101" s="15"/>
      <c r="B101" s="15"/>
      <c r="C101" s="15"/>
      <c r="D101" s="15"/>
      <c r="E101" s="15"/>
      <c r="F101" s="15"/>
      <c r="G101" s="15"/>
      <c r="H101" s="15"/>
      <c r="I101" s="15"/>
      <c r="J101" s="15"/>
      <c r="K101" s="15"/>
      <c r="L101" s="15"/>
      <c r="M101" s="15"/>
    </row>
    <row r="102" spans="1:13" x14ac:dyDescent="0.2">
      <c r="A102" s="15"/>
      <c r="B102" s="15"/>
      <c r="C102" s="15"/>
      <c r="D102" s="15"/>
      <c r="E102" s="15"/>
      <c r="F102" s="15"/>
      <c r="G102" s="15"/>
      <c r="H102" s="15"/>
      <c r="I102" s="15"/>
      <c r="J102" s="15"/>
      <c r="K102" s="15"/>
      <c r="L102" s="15"/>
      <c r="M102" s="15"/>
    </row>
    <row r="103" spans="1:13" x14ac:dyDescent="0.2">
      <c r="A103" s="15"/>
      <c r="B103" s="15"/>
      <c r="C103" s="15"/>
      <c r="D103" s="15"/>
      <c r="E103" s="15"/>
      <c r="F103" s="15"/>
      <c r="G103" s="15"/>
      <c r="H103" s="15"/>
      <c r="I103" s="15"/>
      <c r="J103" s="15"/>
      <c r="K103" s="15"/>
      <c r="L103" s="15"/>
      <c r="M103" s="15"/>
    </row>
    <row r="104" spans="1:13" x14ac:dyDescent="0.2">
      <c r="A104" s="15"/>
      <c r="B104" s="15"/>
      <c r="C104" s="15"/>
      <c r="D104" s="15"/>
      <c r="E104" s="15"/>
      <c r="F104" s="15"/>
      <c r="G104" s="15"/>
      <c r="H104" s="15"/>
      <c r="I104" s="15"/>
      <c r="J104" s="15"/>
      <c r="K104" s="15"/>
      <c r="L104" s="15"/>
      <c r="M104" s="15"/>
    </row>
    <row r="105" spans="1:13" x14ac:dyDescent="0.2">
      <c r="A105" s="15"/>
      <c r="B105" s="15"/>
      <c r="C105" s="15"/>
      <c r="D105" s="15"/>
      <c r="E105" s="15"/>
      <c r="F105" s="15"/>
      <c r="G105" s="15"/>
      <c r="H105" s="15"/>
      <c r="I105" s="15"/>
      <c r="J105" s="15"/>
      <c r="K105" s="15"/>
      <c r="L105" s="15"/>
      <c r="M105" s="15"/>
    </row>
    <row r="107" spans="1:13" x14ac:dyDescent="0.2">
      <c r="A107" s="20" t="s">
        <v>406</v>
      </c>
      <c r="C107" s="20">
        <f>COUNTA(I6:I105)</f>
        <v>0</v>
      </c>
    </row>
    <row r="108" spans="1:13" x14ac:dyDescent="0.2">
      <c r="A108" s="1" t="s">
        <v>407</v>
      </c>
    </row>
  </sheetData>
  <mergeCells count="3">
    <mergeCell ref="A3:M3"/>
    <mergeCell ref="A2:M2"/>
    <mergeCell ref="A1:M1"/>
  </mergeCell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500-000000000000}">
          <x14:formula1>
            <xm:f>'08_DANH_MUC'!$F$6:$F$10</xm:f>
          </x14:formula1>
          <xm:sqref>C6:C105</xm:sqref>
        </x14:dataValidation>
        <x14:dataValidation type="list" allowBlank="1" xr:uid="{00000000-0002-0000-0500-000001000000}">
          <x14:formula1>
            <xm:f>'08_DANH_MUC'!$G$6:$G$8</xm:f>
          </x14:formula1>
          <xm:sqref>F6:F105</xm:sqref>
        </x14:dataValidation>
        <x14:dataValidation type="list" allowBlank="1" xr:uid="{00000000-0002-0000-0500-000002000000}">
          <x14:formula1>
            <xm:f>'08_DANH_MUC'!$A$6:$A$7</xm:f>
          </x14:formula1>
          <xm:sqref>K6:K105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
  <sheetViews>
    <sheetView zoomScale="150" workbookViewId="0">
      <selection sqref="A1:F1"/>
    </sheetView>
  </sheetViews>
  <sheetFormatPr baseColWidth="10" defaultColWidth="8.83203125" defaultRowHeight="15" x14ac:dyDescent="0.2"/>
  <cols>
    <col min="1" max="1" width="7" customWidth="1"/>
    <col min="2" max="2" width="42" customWidth="1"/>
    <col min="3" max="3" width="46" customWidth="1"/>
    <col min="4" max="4" width="30" customWidth="1"/>
    <col min="5" max="5" width="40" customWidth="1"/>
    <col min="6" max="6" width="14" customWidth="1"/>
  </cols>
  <sheetData>
    <row r="1" spans="1:6" ht="26" customHeight="1" x14ac:dyDescent="0.2">
      <c r="A1" s="26" t="s">
        <v>408</v>
      </c>
      <c r="B1" s="22"/>
      <c r="C1" s="22"/>
      <c r="D1" s="22"/>
      <c r="E1" s="22"/>
      <c r="F1" s="22"/>
    </row>
    <row r="2" spans="1:6" x14ac:dyDescent="0.2">
      <c r="A2" s="21" t="s">
        <v>409</v>
      </c>
      <c r="B2" s="22"/>
      <c r="C2" s="22"/>
      <c r="D2" s="22"/>
      <c r="E2" s="22"/>
      <c r="F2" s="22"/>
    </row>
    <row r="3" spans="1:6" x14ac:dyDescent="0.2">
      <c r="A3" s="21" t="s">
        <v>410</v>
      </c>
      <c r="B3" s="22"/>
      <c r="C3" s="22"/>
      <c r="D3" s="22"/>
      <c r="E3" s="22"/>
      <c r="F3" s="22"/>
    </row>
    <row r="5" spans="1:6" ht="42" customHeight="1" x14ac:dyDescent="0.2">
      <c r="A5" s="3" t="s">
        <v>37</v>
      </c>
      <c r="B5" s="3" t="s">
        <v>411</v>
      </c>
      <c r="C5" s="3" t="s">
        <v>412</v>
      </c>
      <c r="D5" s="3" t="s">
        <v>413</v>
      </c>
      <c r="E5" s="3" t="s">
        <v>414</v>
      </c>
      <c r="F5" s="3" t="s">
        <v>46</v>
      </c>
    </row>
    <row r="6" spans="1:6" ht="62" customHeight="1" x14ac:dyDescent="0.2">
      <c r="A6" s="9" t="s">
        <v>415</v>
      </c>
      <c r="B6" s="10" t="s">
        <v>416</v>
      </c>
      <c r="C6" s="10" t="s">
        <v>417</v>
      </c>
      <c r="D6" s="10" t="s">
        <v>418</v>
      </c>
      <c r="E6" s="10" t="s">
        <v>419</v>
      </c>
      <c r="F6" s="11"/>
    </row>
    <row r="7" spans="1:6" ht="62" customHeight="1" x14ac:dyDescent="0.2">
      <c r="A7" s="9" t="s">
        <v>420</v>
      </c>
      <c r="B7" s="10" t="s">
        <v>421</v>
      </c>
      <c r="C7" s="10" t="s">
        <v>422</v>
      </c>
      <c r="D7" s="10" t="s">
        <v>423</v>
      </c>
      <c r="E7" s="10" t="s">
        <v>424</v>
      </c>
      <c r="F7" s="11"/>
    </row>
    <row r="8" spans="1:6" ht="62" customHeight="1" x14ac:dyDescent="0.2">
      <c r="A8" s="9" t="s">
        <v>425</v>
      </c>
      <c r="B8" s="10" t="s">
        <v>426</v>
      </c>
      <c r="C8" s="10" t="s">
        <v>427</v>
      </c>
      <c r="D8" s="10" t="s">
        <v>423</v>
      </c>
      <c r="E8" s="10" t="s">
        <v>428</v>
      </c>
      <c r="F8" s="11"/>
    </row>
    <row r="9" spans="1:6" ht="62" customHeight="1" x14ac:dyDescent="0.2">
      <c r="A9" s="9" t="s">
        <v>429</v>
      </c>
      <c r="B9" s="10" t="s">
        <v>430</v>
      </c>
      <c r="C9" s="10" t="s">
        <v>431</v>
      </c>
      <c r="D9" s="10" t="s">
        <v>432</v>
      </c>
      <c r="E9" s="10" t="s">
        <v>433</v>
      </c>
      <c r="F9" s="11"/>
    </row>
    <row r="10" spans="1:6" ht="62" customHeight="1" x14ac:dyDescent="0.2">
      <c r="A10" s="9" t="s">
        <v>434</v>
      </c>
      <c r="B10" s="10" t="s">
        <v>435</v>
      </c>
      <c r="C10" s="10" t="s">
        <v>436</v>
      </c>
      <c r="D10" s="10" t="s">
        <v>437</v>
      </c>
      <c r="E10" s="10" t="s">
        <v>438</v>
      </c>
      <c r="F10" s="11"/>
    </row>
    <row r="11" spans="1:6" ht="62" customHeight="1" x14ac:dyDescent="0.2">
      <c r="A11" s="9" t="s">
        <v>439</v>
      </c>
      <c r="B11" s="10" t="s">
        <v>440</v>
      </c>
      <c r="C11" s="10" t="s">
        <v>441</v>
      </c>
      <c r="D11" s="10" t="s">
        <v>442</v>
      </c>
      <c r="E11" s="10" t="s">
        <v>443</v>
      </c>
      <c r="F11" s="11"/>
    </row>
  </sheetData>
  <mergeCells count="3">
    <mergeCell ref="A3:F3"/>
    <mergeCell ref="A2:F2"/>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
  <sheetViews>
    <sheetView zoomScale="150" workbookViewId="0">
      <selection sqref="A1:C1"/>
    </sheetView>
  </sheetViews>
  <sheetFormatPr baseColWidth="10" defaultColWidth="8.83203125" defaultRowHeight="15" x14ac:dyDescent="0.2"/>
  <cols>
    <col min="1" max="1" width="40" customWidth="1"/>
    <col min="2" max="2" width="20" customWidth="1"/>
    <col min="3" max="3" width="84" customWidth="1"/>
  </cols>
  <sheetData>
    <row r="1" spans="1:3" ht="26" customHeight="1" x14ac:dyDescent="0.2">
      <c r="A1" s="26" t="s">
        <v>444</v>
      </c>
      <c r="B1" s="22"/>
      <c r="C1" s="22"/>
    </row>
    <row r="2" spans="1:3" x14ac:dyDescent="0.2">
      <c r="A2" s="21" t="s">
        <v>445</v>
      </c>
      <c r="B2" s="22"/>
      <c r="C2" s="22"/>
    </row>
    <row r="3" spans="1:3" x14ac:dyDescent="0.2">
      <c r="A3" s="21" t="s">
        <v>446</v>
      </c>
      <c r="B3" s="22"/>
      <c r="C3" s="22"/>
    </row>
    <row r="5" spans="1:3" ht="42" customHeight="1" x14ac:dyDescent="0.2">
      <c r="A5" s="3" t="s">
        <v>447</v>
      </c>
      <c r="B5" s="3" t="s">
        <v>448</v>
      </c>
      <c r="C5" s="3" t="s">
        <v>449</v>
      </c>
    </row>
    <row r="6" spans="1:3" ht="58" customHeight="1" x14ac:dyDescent="0.2">
      <c r="A6" s="9" t="s">
        <v>450</v>
      </c>
      <c r="B6" s="5" t="s">
        <v>451</v>
      </c>
      <c r="C6" s="10" t="s">
        <v>452</v>
      </c>
    </row>
    <row r="7" spans="1:3" ht="58" customHeight="1" x14ac:dyDescent="0.2">
      <c r="A7" s="9" t="s">
        <v>453</v>
      </c>
      <c r="B7" s="5" t="s">
        <v>451</v>
      </c>
      <c r="C7" s="10" t="s">
        <v>454</v>
      </c>
    </row>
    <row r="8" spans="1:3" ht="58" customHeight="1" x14ac:dyDescent="0.2">
      <c r="A8" s="9" t="s">
        <v>455</v>
      </c>
      <c r="B8" s="5" t="s">
        <v>456</v>
      </c>
      <c r="C8" s="10" t="s">
        <v>457</v>
      </c>
    </row>
    <row r="9" spans="1:3" ht="58" customHeight="1" x14ac:dyDescent="0.2">
      <c r="A9" s="9" t="s">
        <v>458</v>
      </c>
      <c r="B9" s="5" t="s">
        <v>456</v>
      </c>
      <c r="C9" s="10" t="s">
        <v>459</v>
      </c>
    </row>
    <row r="10" spans="1:3" ht="58" customHeight="1" x14ac:dyDescent="0.2">
      <c r="A10" s="9" t="s">
        <v>460</v>
      </c>
      <c r="B10" s="5" t="s">
        <v>456</v>
      </c>
      <c r="C10" s="10" t="s">
        <v>461</v>
      </c>
    </row>
    <row r="11" spans="1:3" ht="58" customHeight="1" x14ac:dyDescent="0.2">
      <c r="A11" s="9" t="s">
        <v>462</v>
      </c>
      <c r="B11" s="5" t="s">
        <v>456</v>
      </c>
      <c r="C11" s="10" t="s">
        <v>463</v>
      </c>
    </row>
    <row r="12" spans="1:3" ht="58" customHeight="1" x14ac:dyDescent="0.2">
      <c r="A12" s="9" t="s">
        <v>464</v>
      </c>
      <c r="B12" s="5" t="s">
        <v>451</v>
      </c>
      <c r="C12" s="10" t="s">
        <v>465</v>
      </c>
    </row>
    <row r="13" spans="1:3" ht="58" customHeight="1" x14ac:dyDescent="0.2">
      <c r="A13" s="9" t="s">
        <v>466</v>
      </c>
      <c r="B13" s="5" t="s">
        <v>467</v>
      </c>
      <c r="C13" s="10" t="s">
        <v>468</v>
      </c>
    </row>
    <row r="14" spans="1:3" ht="58" customHeight="1" x14ac:dyDescent="0.2">
      <c r="A14" s="9" t="s">
        <v>469</v>
      </c>
      <c r="B14" s="5" t="s">
        <v>451</v>
      </c>
      <c r="C14" s="10" t="s">
        <v>470</v>
      </c>
    </row>
  </sheetData>
  <mergeCells count="3">
    <mergeCell ref="A1:C1"/>
    <mergeCell ref="A3:C3"/>
    <mergeCell ref="A2:C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
  <sheetViews>
    <sheetView workbookViewId="0">
      <selection sqref="A1:H1"/>
    </sheetView>
  </sheetViews>
  <sheetFormatPr baseColWidth="10" defaultColWidth="8.83203125" defaultRowHeight="15" x14ac:dyDescent="0.2"/>
  <cols>
    <col min="1" max="1" width="16" customWidth="1"/>
    <col min="2" max="2" width="14" customWidth="1"/>
    <col min="3" max="3" width="16" customWidth="1"/>
    <col min="4" max="4" width="20" customWidth="1"/>
    <col min="5" max="5" width="12" customWidth="1"/>
    <col min="6" max="6" width="20" customWidth="1"/>
    <col min="7" max="7" width="18" customWidth="1"/>
    <col min="8" max="8" width="20" customWidth="1"/>
  </cols>
  <sheetData>
    <row r="1" spans="1:8" ht="26" customHeight="1" x14ac:dyDescent="0.2">
      <c r="A1" s="26" t="s">
        <v>471</v>
      </c>
      <c r="B1" s="22"/>
      <c r="C1" s="22"/>
      <c r="D1" s="22"/>
      <c r="E1" s="22"/>
      <c r="F1" s="22"/>
      <c r="G1" s="22"/>
      <c r="H1" s="22"/>
    </row>
    <row r="2" spans="1:8" x14ac:dyDescent="0.2">
      <c r="A2" s="21" t="s">
        <v>472</v>
      </c>
      <c r="B2" s="22"/>
      <c r="C2" s="22"/>
      <c r="D2" s="22"/>
      <c r="E2" s="22"/>
      <c r="F2" s="22"/>
      <c r="G2" s="22"/>
      <c r="H2" s="22"/>
    </row>
    <row r="3" spans="1:8" x14ac:dyDescent="0.2">
      <c r="A3" s="21" t="s">
        <v>473</v>
      </c>
      <c r="B3" s="22"/>
      <c r="C3" s="22"/>
      <c r="D3" s="22"/>
      <c r="E3" s="22"/>
      <c r="F3" s="22"/>
      <c r="G3" s="22"/>
      <c r="H3" s="22"/>
    </row>
    <row r="5" spans="1:8" ht="42" customHeight="1" x14ac:dyDescent="0.2">
      <c r="A5" s="3" t="s">
        <v>82</v>
      </c>
      <c r="B5" s="3" t="s">
        <v>474</v>
      </c>
      <c r="C5" s="3" t="s">
        <v>475</v>
      </c>
      <c r="D5" s="3" t="s">
        <v>476</v>
      </c>
      <c r="E5" s="3" t="s">
        <v>283</v>
      </c>
      <c r="F5" s="3" t="s">
        <v>477</v>
      </c>
      <c r="G5" s="3" t="s">
        <v>478</v>
      </c>
      <c r="H5" s="3" t="s">
        <v>155</v>
      </c>
    </row>
    <row r="6" spans="1:8" x14ac:dyDescent="0.2">
      <c r="A6" s="17" t="s">
        <v>83</v>
      </c>
      <c r="B6" s="17" t="s">
        <v>479</v>
      </c>
      <c r="C6" s="17" t="s">
        <v>480</v>
      </c>
      <c r="D6" s="17" t="s">
        <v>481</v>
      </c>
      <c r="E6" s="17" t="s">
        <v>482</v>
      </c>
      <c r="F6" s="17" t="s">
        <v>483</v>
      </c>
      <c r="G6" s="17" t="s">
        <v>484</v>
      </c>
      <c r="H6" s="17" t="s">
        <v>83</v>
      </c>
    </row>
    <row r="7" spans="1:8" x14ac:dyDescent="0.2">
      <c r="A7" s="17" t="s">
        <v>485</v>
      </c>
      <c r="B7" s="17" t="s">
        <v>486</v>
      </c>
      <c r="C7" s="17" t="s">
        <v>487</v>
      </c>
      <c r="D7" s="17" t="s">
        <v>488</v>
      </c>
      <c r="E7" s="17" t="s">
        <v>489</v>
      </c>
      <c r="F7" s="17" t="s">
        <v>490</v>
      </c>
      <c r="G7" s="17" t="s">
        <v>491</v>
      </c>
      <c r="H7" s="17" t="s">
        <v>485</v>
      </c>
    </row>
    <row r="8" spans="1:8" x14ac:dyDescent="0.2">
      <c r="C8" s="17" t="s">
        <v>492</v>
      </c>
      <c r="D8" s="17" t="s">
        <v>493</v>
      </c>
      <c r="E8" s="17" t="s">
        <v>494</v>
      </c>
      <c r="F8" s="17" t="s">
        <v>495</v>
      </c>
      <c r="G8" s="17" t="s">
        <v>496</v>
      </c>
      <c r="H8" s="17" t="s">
        <v>497</v>
      </c>
    </row>
    <row r="9" spans="1:8" x14ac:dyDescent="0.2">
      <c r="D9" s="17" t="s">
        <v>498</v>
      </c>
      <c r="F9" s="17" t="s">
        <v>499</v>
      </c>
    </row>
    <row r="10" spans="1:8" x14ac:dyDescent="0.2">
      <c r="D10" s="17" t="s">
        <v>500</v>
      </c>
      <c r="F10" s="17" t="s">
        <v>500</v>
      </c>
    </row>
  </sheetData>
  <mergeCells count="3">
    <mergeCell ref="A3:H3"/>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00_HUONG_DAN</vt:lpstr>
      <vt:lpstr>01_CAU_HOI_CHINH</vt:lpstr>
      <vt:lpstr>02_GOI_SAN_PHAM</vt:lpstr>
      <vt:lpstr>03_THIET_BI</vt:lpstr>
      <vt:lpstr>04_VUNG_PHUC_VU</vt:lpstr>
      <vt:lpstr>05_HOA_DON_MAU</vt:lpstr>
      <vt:lpstr>06_VIEC_KY_SU</vt:lpstr>
      <vt:lpstr>07_KHONG_CAN_DIEN</vt:lpstr>
      <vt:lpstr>08_DANH_MUC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ezte zet</cp:lastModifiedBy>
  <dcterms:created xsi:type="dcterms:W3CDTF">2026-07-25T17:31:39Z</dcterms:created>
  <dcterms:modified xsi:type="dcterms:W3CDTF">2026-07-26T02:20:42Z</dcterms:modified>
</cp:coreProperties>
</file>